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Cfferpsrv\dados\.SAP VENDA\"/>
    </mc:Choice>
  </mc:AlternateContent>
  <xr:revisionPtr revIDLastSave="0" documentId="13_ncr:1_{417531AB-2F6E-49B0-A278-C7B3329A3A4F}" xr6:coauthVersionLast="47" xr6:coauthVersionMax="47" xr10:uidLastSave="{00000000-0000-0000-0000-000000000000}"/>
  <bookViews>
    <workbookView xWindow="-108" yWindow="-108" windowWidth="23256" windowHeight="12456" tabRatio="598" activeTab="1" xr2:uid="{BDC32B0F-602D-43AD-BD6A-889B6E056D2B}"/>
  </bookViews>
  <sheets>
    <sheet name="META ANUAL" sheetId="4" r:id="rId1"/>
    <sheet name="MAIO" sheetId="7" r:id="rId2"/>
    <sheet name="ABRIL" sheetId="6" r:id="rId3"/>
    <sheet name="MARÇO" sheetId="5" r:id="rId4"/>
    <sheet name="FEVEREIRO" sheetId="3" r:id="rId5"/>
    <sheet name="JANEIRO" sheetId="1" r:id="rId6"/>
  </sheets>
  <definedNames>
    <definedName name="_xlnm._FilterDatabase" localSheetId="2" hidden="1">ABRIL!$A$1:$F$242</definedName>
    <definedName name="_xlnm._FilterDatabase" localSheetId="4" hidden="1">FEVEREIRO!$A$1:$F$244</definedName>
    <definedName name="_xlnm._FilterDatabase" localSheetId="5" hidden="1">JANEIRO!$A$1:$F$243</definedName>
    <definedName name="_xlnm._FilterDatabase" localSheetId="1" hidden="1">MAIO!$A$1:$F$242</definedName>
    <definedName name="_xlnm._FilterDatabase" localSheetId="3" hidden="1">MARÇO!$A$1:$F$243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7" l="1"/>
  <c r="K27" i="7" s="1"/>
  <c r="L9" i="7" s="1"/>
  <c r="H5" i="7" a="1"/>
  <c r="H5" i="7" s="1"/>
  <c r="I26" i="7"/>
  <c r="I25" i="7"/>
  <c r="I24" i="7"/>
  <c r="K24" i="7" s="1"/>
  <c r="I23" i="7"/>
  <c r="H1" i="7"/>
  <c r="I22" i="7"/>
  <c r="K22" i="7" s="1"/>
  <c r="M9" i="7"/>
  <c r="I21" i="7"/>
  <c r="I20" i="7"/>
  <c r="I19" i="7"/>
  <c r="O9" i="7"/>
  <c r="N29" i="7"/>
  <c r="P29" i="7"/>
  <c r="M11" i="7"/>
  <c r="M10" i="7"/>
  <c r="M18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M13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O28" i="7"/>
  <c r="M28" i="7"/>
  <c r="I18" i="7"/>
  <c r="I17" i="7"/>
  <c r="I16" i="7"/>
  <c r="I15" i="7"/>
  <c r="I14" i="7"/>
  <c r="I13" i="7"/>
  <c r="I12" i="7"/>
  <c r="I11" i="7"/>
  <c r="I10" i="7"/>
  <c r="I9" i="7"/>
  <c r="N12" i="4"/>
  <c r="N11" i="4"/>
  <c r="N31" i="4"/>
  <c r="N30" i="4"/>
  <c r="N21" i="4"/>
  <c r="N20" i="4"/>
  <c r="C273" i="7"/>
  <c r="D275" i="7" s="1"/>
  <c r="K28" i="7"/>
  <c r="I28" i="6"/>
  <c r="I27" i="6"/>
  <c r="I26" i="6"/>
  <c r="I25" i="6"/>
  <c r="I24" i="6"/>
  <c r="K24" i="6" s="1"/>
  <c r="I23" i="6"/>
  <c r="K23" i="6" s="1"/>
  <c r="I22" i="6"/>
  <c r="I21" i="6"/>
  <c r="K21" i="6" s="1"/>
  <c r="I20" i="6"/>
  <c r="I19" i="6"/>
  <c r="I18" i="6"/>
  <c r="K18" i="6" s="1"/>
  <c r="I17" i="6"/>
  <c r="I16" i="6"/>
  <c r="K16" i="6" s="1"/>
  <c r="I14" i="6"/>
  <c r="I13" i="6"/>
  <c r="I11" i="6"/>
  <c r="K11" i="6" s="1"/>
  <c r="I10" i="6"/>
  <c r="K10" i="6" s="1"/>
  <c r="I9" i="6"/>
  <c r="K9" i="6" s="1"/>
  <c r="I15" i="6"/>
  <c r="K13" i="6"/>
  <c r="I12" i="6"/>
  <c r="K12" i="6" s="1"/>
  <c r="H1" i="6"/>
  <c r="C273" i="6"/>
  <c r="D275" i="6" s="1"/>
  <c r="O12" i="4"/>
  <c r="I1" i="5"/>
  <c r="I3" i="5" s="1"/>
  <c r="I30" i="5"/>
  <c r="K30" i="5" s="1"/>
  <c r="I28" i="5"/>
  <c r="I29" i="5"/>
  <c r="K29" i="5" s="1"/>
  <c r="I27" i="5"/>
  <c r="K27" i="5" s="1"/>
  <c r="I26" i="5"/>
  <c r="I25" i="5"/>
  <c r="I24" i="5"/>
  <c r="I23" i="5"/>
  <c r="K23" i="5" s="1"/>
  <c r="I22" i="5"/>
  <c r="K22" i="5" s="1"/>
  <c r="I21" i="5"/>
  <c r="I20" i="5"/>
  <c r="I19" i="5"/>
  <c r="I18" i="5"/>
  <c r="K18" i="5" s="1"/>
  <c r="I17" i="5"/>
  <c r="K17" i="5" s="1"/>
  <c r="I16" i="5"/>
  <c r="K16" i="5" s="1"/>
  <c r="I15" i="5"/>
  <c r="K15" i="5" s="1"/>
  <c r="I14" i="5"/>
  <c r="I13" i="5"/>
  <c r="K13" i="5" s="1"/>
  <c r="I12" i="5"/>
  <c r="K12" i="5" s="1"/>
  <c r="I11" i="5"/>
  <c r="K11" i="5" s="1"/>
  <c r="I10" i="5"/>
  <c r="K10" i="5" s="1"/>
  <c r="I9" i="5"/>
  <c r="K9" i="5" s="1"/>
  <c r="C274" i="5"/>
  <c r="C276" i="5" s="1"/>
  <c r="O31" i="4"/>
  <c r="O30" i="4"/>
  <c r="O20" i="4"/>
  <c r="O21" i="4"/>
  <c r="O11" i="4"/>
  <c r="C249" i="1"/>
  <c r="C251" i="1" s="1"/>
  <c r="I1" i="3"/>
  <c r="I3" i="3" s="1"/>
  <c r="H4" i="3" s="1"/>
  <c r="C250" i="3"/>
  <c r="D252" i="3" s="1"/>
  <c r="M27" i="7" l="1"/>
  <c r="O27" i="7"/>
  <c r="M26" i="7"/>
  <c r="O26" i="7"/>
  <c r="K26" i="7"/>
  <c r="M25" i="7"/>
  <c r="O25" i="7"/>
  <c r="K25" i="7"/>
  <c r="O24" i="7"/>
  <c r="M24" i="7"/>
  <c r="O23" i="7"/>
  <c r="M23" i="7"/>
  <c r="K23" i="7"/>
  <c r="I3" i="7"/>
  <c r="J2" i="7"/>
  <c r="M22" i="7"/>
  <c r="O22" i="7"/>
  <c r="O21" i="7"/>
  <c r="M21" i="7"/>
  <c r="K21" i="7"/>
  <c r="K2" i="7"/>
  <c r="O20" i="7"/>
  <c r="M20" i="7"/>
  <c r="M19" i="7"/>
  <c r="O19" i="7"/>
  <c r="O18" i="7"/>
  <c r="O17" i="7"/>
  <c r="M17" i="7"/>
  <c r="K16" i="7"/>
  <c r="O16" i="7"/>
  <c r="M16" i="7"/>
  <c r="O15" i="7"/>
  <c r="M15" i="7"/>
  <c r="K14" i="7"/>
  <c r="O14" i="7"/>
  <c r="M14" i="7"/>
  <c r="O13" i="7"/>
  <c r="O12" i="7"/>
  <c r="M12" i="7"/>
  <c r="K11" i="7"/>
  <c r="O11" i="7"/>
  <c r="O10" i="7"/>
  <c r="K20" i="7"/>
  <c r="K19" i="7"/>
  <c r="K18" i="7"/>
  <c r="K17" i="7"/>
  <c r="K15" i="7"/>
  <c r="K13" i="7"/>
  <c r="K10" i="7"/>
  <c r="K9" i="7"/>
  <c r="N33" i="4"/>
  <c r="N23" i="4"/>
  <c r="C275" i="7"/>
  <c r="K12" i="7"/>
  <c r="H3" i="7"/>
  <c r="N14" i="4"/>
  <c r="K28" i="6"/>
  <c r="H5" i="6" a="1"/>
  <c r="H5" i="6" s="1"/>
  <c r="K27" i="6"/>
  <c r="I3" i="6"/>
  <c r="J2" i="6"/>
  <c r="K26" i="6"/>
  <c r="K25" i="6"/>
  <c r="K15" i="6"/>
  <c r="K22" i="6"/>
  <c r="K2" i="6"/>
  <c r="K20" i="6"/>
  <c r="K19" i="6"/>
  <c r="K17" i="6"/>
  <c r="K14" i="6"/>
  <c r="H3" i="6"/>
  <c r="C275" i="6"/>
  <c r="H5" i="5" a="1"/>
  <c r="H5" i="5" s="1"/>
  <c r="J3" i="5"/>
  <c r="K28" i="5"/>
  <c r="K26" i="5"/>
  <c r="K25" i="5"/>
  <c r="K24" i="5"/>
  <c r="K21" i="5"/>
  <c r="K20" i="5"/>
  <c r="K19" i="5"/>
  <c r="K14" i="5"/>
  <c r="D276" i="5"/>
  <c r="J3" i="3"/>
  <c r="C252" i="3"/>
  <c r="D251" i="1"/>
  <c r="M29" i="7" l="1"/>
  <c r="O29" i="7"/>
  <c r="L9" i="6"/>
  <c r="L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<sst xmlns="http://schemas.openxmlformats.org/spreadsheetml/2006/main" count="2271" uniqueCount="984">
  <si>
    <t>Número do Pedido</t>
  </si>
  <si>
    <t>Cliente</t>
  </si>
  <si>
    <t>Valor</t>
  </si>
  <si>
    <t>Vendedor</t>
  </si>
  <si>
    <t>Data</t>
  </si>
  <si>
    <t>Observações</t>
  </si>
  <si>
    <t>TOTAL</t>
  </si>
  <si>
    <t>VALOR RESTANTE</t>
  </si>
  <si>
    <t>META EMPRESA</t>
  </si>
  <si>
    <t>PRO EPI'S</t>
  </si>
  <si>
    <t>Gabriel Klein</t>
  </si>
  <si>
    <t>SERGIO MIKLEY</t>
  </si>
  <si>
    <t>sst consult</t>
  </si>
  <si>
    <t>gabriel ferreira</t>
  </si>
  <si>
    <t>Necessário por dia</t>
  </si>
  <si>
    <t>Qualy lab</t>
  </si>
  <si>
    <t>Rogislei</t>
  </si>
  <si>
    <t>Hualyson</t>
  </si>
  <si>
    <t>Proxy</t>
  </si>
  <si>
    <t>Unimed</t>
  </si>
  <si>
    <t>Site</t>
  </si>
  <si>
    <t>Joao Vitor</t>
  </si>
  <si>
    <t>MS Terraplenagem</t>
  </si>
  <si>
    <t>Paulo Ricardo</t>
  </si>
  <si>
    <t>Nikolas</t>
  </si>
  <si>
    <t>Mercado Livre</t>
  </si>
  <si>
    <t>Agnaldo</t>
  </si>
  <si>
    <t>petroleo brasileiro</t>
  </si>
  <si>
    <t>Izeppi</t>
  </si>
  <si>
    <t>Segtrab</t>
  </si>
  <si>
    <t>Jamilson</t>
  </si>
  <si>
    <t>HSG</t>
  </si>
  <si>
    <t>neivas</t>
  </si>
  <si>
    <t>Soluções</t>
  </si>
  <si>
    <t xml:space="preserve">MARIANO </t>
  </si>
  <si>
    <t>EXPORTAÇÃO</t>
  </si>
  <si>
    <t>Wasghinton Luiz</t>
  </si>
  <si>
    <t>Jhuannyto</t>
  </si>
  <si>
    <t>G. Gonçalves</t>
  </si>
  <si>
    <t>Bio Seg</t>
  </si>
  <si>
    <t>Trindade &amp; Haus</t>
  </si>
  <si>
    <t>REDRIVE</t>
  </si>
  <si>
    <t>Paulo Henrique</t>
  </si>
  <si>
    <t>Elder Feitosa</t>
  </si>
  <si>
    <t>Rafitec</t>
  </si>
  <si>
    <t>Charles da Cunha</t>
  </si>
  <si>
    <t>richard assessoria</t>
  </si>
  <si>
    <t>Alesandra</t>
  </si>
  <si>
    <t>smart</t>
  </si>
  <si>
    <t>Alex Pegoretti</t>
  </si>
  <si>
    <t>Gabriel Dias</t>
  </si>
  <si>
    <t>Base Manutencao</t>
  </si>
  <si>
    <t>Olavo Tirloni</t>
  </si>
  <si>
    <t>Vagner zorzi</t>
  </si>
  <si>
    <t>ASSOCIACAO DOS FORNECEDORES</t>
  </si>
  <si>
    <t>Eficacia</t>
  </si>
  <si>
    <t>Bema</t>
  </si>
  <si>
    <t>samet</t>
  </si>
  <si>
    <t>anuncio insta</t>
  </si>
  <si>
    <t>Consultiva</t>
  </si>
  <si>
    <t>Engemed</t>
  </si>
  <si>
    <t>Jose Eduardo Silva</t>
  </si>
  <si>
    <t>VCA</t>
  </si>
  <si>
    <t>Leonardo Valsecchi</t>
  </si>
  <si>
    <t>Marcio Carazi</t>
  </si>
  <si>
    <t>Marcelo Targino</t>
  </si>
  <si>
    <t>tech peru</t>
  </si>
  <si>
    <t>Sousa e Santos</t>
  </si>
  <si>
    <t>Vida Med</t>
  </si>
  <si>
    <t>Revemar</t>
  </si>
  <si>
    <t>Asap</t>
  </si>
  <si>
    <t>sultepa</t>
  </si>
  <si>
    <t>Cooperativa C</t>
  </si>
  <si>
    <t>Giorge</t>
  </si>
  <si>
    <t>Marco Paiva</t>
  </si>
  <si>
    <t>dhm</t>
  </si>
  <si>
    <t>Manancial</t>
  </si>
  <si>
    <t xml:space="preserve">Centro Médico </t>
  </si>
  <si>
    <t>Anúncio Insta</t>
  </si>
  <si>
    <t>DNA</t>
  </si>
  <si>
    <t>Stela</t>
  </si>
  <si>
    <t>Carlos Chagas</t>
  </si>
  <si>
    <t>i. b. logistica</t>
  </si>
  <si>
    <t>Ecosafety</t>
  </si>
  <si>
    <t>ACERTA</t>
  </si>
  <si>
    <t>Laborativa</t>
  </si>
  <si>
    <t>casmet</t>
  </si>
  <si>
    <t>CHROMPACK</t>
  </si>
  <si>
    <t>HT</t>
  </si>
  <si>
    <t>Sandole</t>
  </si>
  <si>
    <t>Naylton</t>
  </si>
  <si>
    <t xml:space="preserve">Eduardo Silva </t>
  </si>
  <si>
    <t>Ammel</t>
  </si>
  <si>
    <t>tec omni</t>
  </si>
  <si>
    <t>Antuni</t>
  </si>
  <si>
    <t>Cesar Homero</t>
  </si>
  <si>
    <t>Rodrigo Viana</t>
  </si>
  <si>
    <t>ArtSegh</t>
  </si>
  <si>
    <t>Astra</t>
  </si>
  <si>
    <t>Clinica Espaco</t>
  </si>
  <si>
    <t>Diniz</t>
  </si>
  <si>
    <t>Cleber dos Santos</t>
  </si>
  <si>
    <t>Marcio Elison</t>
  </si>
  <si>
    <t>Marcia Ferreira</t>
  </si>
  <si>
    <t>PL SERVIÇOS</t>
  </si>
  <si>
    <t>REFINARIA DE PETROLEO</t>
  </si>
  <si>
    <t>METTASEG</t>
  </si>
  <si>
    <t>Patricia Neves</t>
  </si>
  <si>
    <t>Elementus</t>
  </si>
  <si>
    <t>Joaquim Gonçalves</t>
  </si>
  <si>
    <t>Equipserv</t>
  </si>
  <si>
    <t>ELIANE</t>
  </si>
  <si>
    <t>Prevemt</t>
  </si>
  <si>
    <t>Americana</t>
  </si>
  <si>
    <t>Sebastiana</t>
  </si>
  <si>
    <t>Jaime Andrade</t>
  </si>
  <si>
    <t>Jean Victor</t>
  </si>
  <si>
    <t>Leonardo Silva</t>
  </si>
  <si>
    <t>Matheus Tertulino</t>
  </si>
  <si>
    <t>Carlos Magno</t>
  </si>
  <si>
    <t>Modal</t>
  </si>
  <si>
    <t>Pre-Vale</t>
  </si>
  <si>
    <t>LINDA NAHOMI</t>
  </si>
  <si>
    <t>Centro Gaucho</t>
  </si>
  <si>
    <t>Facil</t>
  </si>
  <si>
    <t>Show</t>
  </si>
  <si>
    <t>ANA PAULA</t>
  </si>
  <si>
    <t>Paulo Manoel</t>
  </si>
  <si>
    <t>GDA</t>
  </si>
  <si>
    <t>Loyal</t>
  </si>
  <si>
    <t>3 IRMÃOS</t>
  </si>
  <si>
    <t>soludy</t>
  </si>
  <si>
    <t>MISA</t>
  </si>
  <si>
    <t>Gabriela Macedo</t>
  </si>
  <si>
    <t>Reinaldo</t>
  </si>
  <si>
    <t>Olivier</t>
  </si>
  <si>
    <t>Giovani A</t>
  </si>
  <si>
    <t>Luiz Pedro</t>
  </si>
  <si>
    <t>Pantaneira</t>
  </si>
  <si>
    <t>Refrimate</t>
  </si>
  <si>
    <t>Prevencao</t>
  </si>
  <si>
    <t>Sabimed</t>
  </si>
  <si>
    <t>Minerar</t>
  </si>
  <si>
    <t>Construsinos</t>
  </si>
  <si>
    <t>ADL</t>
  </si>
  <si>
    <t>nogueira</t>
  </si>
  <si>
    <t>Inter-metro</t>
  </si>
  <si>
    <t>Soul</t>
  </si>
  <si>
    <t>Paulo Eduardo</t>
  </si>
  <si>
    <t>Alessandro A</t>
  </si>
  <si>
    <t>edson</t>
  </si>
  <si>
    <t>Arlindo M</t>
  </si>
  <si>
    <t>Jorge Belo</t>
  </si>
  <si>
    <t>Vertice</t>
  </si>
  <si>
    <t>Clini SH</t>
  </si>
  <si>
    <t>Maria Aparecida</t>
  </si>
  <si>
    <t>r mendonca</t>
  </si>
  <si>
    <t>UNIMED Chapeco</t>
  </si>
  <si>
    <t>Irene Maria</t>
  </si>
  <si>
    <t>simas</t>
  </si>
  <si>
    <t>Macaetec</t>
  </si>
  <si>
    <t>Organizar Fabio</t>
  </si>
  <si>
    <t>Carolina</t>
  </si>
  <si>
    <t>Adrian</t>
  </si>
  <si>
    <t>Ultraseg</t>
  </si>
  <si>
    <t>Tiago Costa</t>
  </si>
  <si>
    <t>Elise Saude</t>
  </si>
  <si>
    <t>Mercado livre</t>
  </si>
  <si>
    <t>Wasghinton</t>
  </si>
  <si>
    <t>Petrobras</t>
  </si>
  <si>
    <t>Dass Nordeste</t>
  </si>
  <si>
    <t>Marcelo</t>
  </si>
  <si>
    <t>Coezzi</t>
  </si>
  <si>
    <t>Alciony</t>
  </si>
  <si>
    <t>Elfusa</t>
  </si>
  <si>
    <t>Domingo</t>
  </si>
  <si>
    <t>Alexis Oliveira</t>
  </si>
  <si>
    <t>VCA Servicos</t>
  </si>
  <si>
    <t>Ecoar</t>
  </si>
  <si>
    <t>Xavier</t>
  </si>
  <si>
    <t>Saldanha</t>
  </si>
  <si>
    <t>Redrive</t>
  </si>
  <si>
    <t>Soluçoes</t>
  </si>
  <si>
    <t>Antônio</t>
  </si>
  <si>
    <t>mmc</t>
  </si>
  <si>
    <t>monica</t>
  </si>
  <si>
    <t>Kelson</t>
  </si>
  <si>
    <t>Alex Correa</t>
  </si>
  <si>
    <t>Onix</t>
  </si>
  <si>
    <t>Salut</t>
  </si>
  <si>
    <t>Lissandro</t>
  </si>
  <si>
    <t>Leomir</t>
  </si>
  <si>
    <t>Almeida e Menezes</t>
  </si>
  <si>
    <t>Marthina</t>
  </si>
  <si>
    <t>Anúncio KHO-11</t>
  </si>
  <si>
    <t>seguremed</t>
  </si>
  <si>
    <t>anuncio linha completa</t>
  </si>
  <si>
    <t>Bird Seg</t>
  </si>
  <si>
    <t>segnet</t>
  </si>
  <si>
    <t>anuncio "mais eficiencia"</t>
  </si>
  <si>
    <t>Proteção Rio</t>
  </si>
  <si>
    <t>Leomir borghardt</t>
  </si>
  <si>
    <t>Multi life</t>
  </si>
  <si>
    <t>Climetra</t>
  </si>
  <si>
    <t xml:space="preserve"> J A Seg</t>
  </si>
  <si>
    <t>Malharia Anselmi</t>
  </si>
  <si>
    <t>TutiPlast</t>
  </si>
  <si>
    <t>Aptos</t>
  </si>
  <si>
    <t>Burday's</t>
  </si>
  <si>
    <t>Seg e Med</t>
  </si>
  <si>
    <t>Anuncio KHO-11 (levou só um)</t>
  </si>
  <si>
    <t>Carla Patricia</t>
  </si>
  <si>
    <t>GR Gestao</t>
  </si>
  <si>
    <t>SM - São Mateus</t>
  </si>
  <si>
    <t>Luiz Monteiro</t>
  </si>
  <si>
    <t>Oxford</t>
  </si>
  <si>
    <t>ConverPlast</t>
  </si>
  <si>
    <t>Retorno de golpe</t>
  </si>
  <si>
    <t>Tentaram comprar em nome da empresa</t>
  </si>
  <si>
    <t>Seg Infinity</t>
  </si>
  <si>
    <t>Fernando Tomaz</t>
  </si>
  <si>
    <t>SST Locação</t>
  </si>
  <si>
    <t>oseias</t>
  </si>
  <si>
    <t>upgrade</t>
  </si>
  <si>
    <t>Agro Industrial</t>
  </si>
  <si>
    <t>Cooperativa</t>
  </si>
  <si>
    <t>IlhaTec</t>
  </si>
  <si>
    <t>Granja</t>
  </si>
  <si>
    <t>Pro Ambiente</t>
  </si>
  <si>
    <t>Levi</t>
  </si>
  <si>
    <t>Suprema</t>
  </si>
  <si>
    <t>Claudio</t>
  </si>
  <si>
    <t>Anúncio Protemp extreme</t>
  </si>
  <si>
    <t>Aurea</t>
  </si>
  <si>
    <t>Miranda e companhia</t>
  </si>
  <si>
    <t>Anúncio Protemp extreme (levou só Protemp)</t>
  </si>
  <si>
    <t>Eficaz</t>
  </si>
  <si>
    <t>Biocentific</t>
  </si>
  <si>
    <t>Le Parc condominio</t>
  </si>
  <si>
    <t>Isaltino</t>
  </si>
  <si>
    <t>Igor Ferro</t>
  </si>
  <si>
    <t>Lucas Silva</t>
  </si>
  <si>
    <t>Prollabor</t>
  </si>
  <si>
    <t>GHS</t>
  </si>
  <si>
    <t>Bruno Dobbin</t>
  </si>
  <si>
    <t>A C Guedes</t>
  </si>
  <si>
    <t>Marlesandra</t>
  </si>
  <si>
    <t>ismael</t>
  </si>
  <si>
    <t>TS Med</t>
  </si>
  <si>
    <t>Fabio Batista</t>
  </si>
  <si>
    <t>Mauro Fernandes</t>
  </si>
  <si>
    <t>Luciana Palmiro</t>
  </si>
  <si>
    <t>Kellyomar</t>
  </si>
  <si>
    <t>A2G</t>
  </si>
  <si>
    <t>Zi Safety</t>
  </si>
  <si>
    <t>Matheus Sousa</t>
  </si>
  <si>
    <t>ADAILTON</t>
  </si>
  <si>
    <t>Ambiensys</t>
  </si>
  <si>
    <t>Pro Ação</t>
  </si>
  <si>
    <t>Previne</t>
  </si>
  <si>
    <t>Cotação Inlite</t>
  </si>
  <si>
    <t>Tanar</t>
  </si>
  <si>
    <t>Lead Linha completa - Insta</t>
  </si>
  <si>
    <t>João Victor</t>
  </si>
  <si>
    <t>Tiago Burgardt</t>
  </si>
  <si>
    <t>Augusto Junior</t>
  </si>
  <si>
    <t>M V Lima</t>
  </si>
  <si>
    <t>IPS</t>
  </si>
  <si>
    <t>drl</t>
  </si>
  <si>
    <t>Kleiton</t>
  </si>
  <si>
    <t>Gestro</t>
  </si>
  <si>
    <t>Menegazzi</t>
  </si>
  <si>
    <t>FP Saude</t>
  </si>
  <si>
    <t>Rodrigo Marcucci</t>
  </si>
  <si>
    <t>M R S Estudos</t>
  </si>
  <si>
    <t>techperu</t>
  </si>
  <si>
    <t>export</t>
  </si>
  <si>
    <t>Cmest</t>
  </si>
  <si>
    <t>Cred Med</t>
  </si>
  <si>
    <t>grupo</t>
  </si>
  <si>
    <t>itaueira</t>
  </si>
  <si>
    <t>j. m. g.</t>
  </si>
  <si>
    <t>Techseg</t>
  </si>
  <si>
    <t>Climedi</t>
  </si>
  <si>
    <t>Inteltesla</t>
  </si>
  <si>
    <t>3 dias</t>
  </si>
  <si>
    <t>Suzana</t>
  </si>
  <si>
    <t>condição score 550</t>
  </si>
  <si>
    <t>Metamed</t>
  </si>
  <si>
    <t>Freitas &amp; Farias</t>
  </si>
  <si>
    <t>Rodrigo Aquino</t>
  </si>
  <si>
    <t>Engsegtra</t>
  </si>
  <si>
    <t>Treseg</t>
  </si>
  <si>
    <t>Beatriz</t>
  </si>
  <si>
    <t>Marcus Vinicius</t>
  </si>
  <si>
    <t>Pablo Martins</t>
  </si>
  <si>
    <t>Adriana Schaer</t>
  </si>
  <si>
    <t xml:space="preserve">Fabio Horn </t>
  </si>
  <si>
    <t>Jose Alberto</t>
  </si>
  <si>
    <t>Tráfego Pago/Hyper/Protemp Extreme</t>
  </si>
  <si>
    <t>Elias Gonçalo</t>
  </si>
  <si>
    <t>Agromasst</t>
  </si>
  <si>
    <t>Lead Protemp Extreme - mas queria KHO-11 (COBRIR PROPOSTA INSTRUTHERM)</t>
  </si>
  <si>
    <t>Amb</t>
  </si>
  <si>
    <t xml:space="preserve">Paulo Manuel </t>
  </si>
  <si>
    <t>Lavoro</t>
  </si>
  <si>
    <t>CTEC</t>
  </si>
  <si>
    <t>MMC</t>
  </si>
  <si>
    <t>prevfentiva</t>
  </si>
  <si>
    <t>Julio Cesar</t>
  </si>
  <si>
    <t>Ricardo Vieira</t>
  </si>
  <si>
    <t>Jose Carlos</t>
  </si>
  <si>
    <t>Granja Brasilia</t>
  </si>
  <si>
    <t>Imperium</t>
  </si>
  <si>
    <t>Kalyani</t>
  </si>
  <si>
    <t>Base Manutenção</t>
  </si>
  <si>
    <t>KL</t>
  </si>
  <si>
    <t>semetra</t>
  </si>
  <si>
    <t>Cidmed</t>
  </si>
  <si>
    <t>DRL</t>
  </si>
  <si>
    <t>Bruno Queiroz</t>
  </si>
  <si>
    <t>Chamou no Instagram</t>
  </si>
  <si>
    <t>BEDEL</t>
  </si>
  <si>
    <t>Descrição</t>
  </si>
  <si>
    <t>Total</t>
  </si>
  <si>
    <t>Vendas</t>
  </si>
  <si>
    <t>Locações</t>
  </si>
  <si>
    <t>Serviços</t>
  </si>
  <si>
    <t>Total Geral</t>
  </si>
  <si>
    <t>META</t>
  </si>
  <si>
    <t>VENDIDO</t>
  </si>
  <si>
    <t>SALDO VENDAS</t>
  </si>
  <si>
    <t>TOTAL PARCIAL</t>
  </si>
  <si>
    <t>METAS LOCAÇÕES</t>
  </si>
  <si>
    <t>METAS SERVIÇOS</t>
  </si>
  <si>
    <t>22 dias úteis</t>
  </si>
  <si>
    <t>Ambar</t>
  </si>
  <si>
    <t>Thais Becker</t>
  </si>
  <si>
    <t>VENDAS/DIA</t>
  </si>
  <si>
    <t>DIA</t>
  </si>
  <si>
    <t>VALOR</t>
  </si>
  <si>
    <t>Pedro Henrique</t>
  </si>
  <si>
    <t>acqualimp</t>
  </si>
  <si>
    <t>Altaseg</t>
  </si>
  <si>
    <t>WM Excelencia</t>
  </si>
  <si>
    <t>Ênio</t>
  </si>
  <si>
    <t>Calçados Pegada</t>
  </si>
  <si>
    <t>Hospital de Caridade</t>
  </si>
  <si>
    <t>Coop. Santa Clara</t>
  </si>
  <si>
    <t>Pilar e Coluna</t>
  </si>
  <si>
    <t>RETORNO CARD "ESTAMOS DE VOLTA" - ENVIADO PELO REDRIVE</t>
  </si>
  <si>
    <t>Intermed</t>
  </si>
  <si>
    <t>Kurber</t>
  </si>
  <si>
    <t>Valor Mercado livre</t>
  </si>
  <si>
    <t>RENAN</t>
  </si>
  <si>
    <t>O A Bittencourt</t>
  </si>
  <si>
    <t>Severino</t>
  </si>
  <si>
    <t>Almont</t>
  </si>
  <si>
    <t>Agape</t>
  </si>
  <si>
    <t>H Silva</t>
  </si>
  <si>
    <t>Anuncio Hyper</t>
  </si>
  <si>
    <t>Wolf</t>
  </si>
  <si>
    <t>Ditec</t>
  </si>
  <si>
    <t>Juliano</t>
  </si>
  <si>
    <t>Wandra</t>
  </si>
  <si>
    <t>MRS</t>
  </si>
  <si>
    <t>Ergotec</t>
  </si>
  <si>
    <t>Sierdovski</t>
  </si>
  <si>
    <t>Proativa</t>
  </si>
  <si>
    <t>SML</t>
  </si>
  <si>
    <t>Labor</t>
  </si>
  <si>
    <t>A L de Mendonca</t>
  </si>
  <si>
    <t>Jeziel</t>
  </si>
  <si>
    <t>Total Safety</t>
  </si>
  <si>
    <t>Luis</t>
  </si>
  <si>
    <t>Max Facilities</t>
  </si>
  <si>
    <t xml:space="preserve">Pinheiro </t>
  </si>
  <si>
    <t>JLR</t>
  </si>
  <si>
    <t>DIFERENÇA</t>
  </si>
  <si>
    <t>Fabrica de moveis</t>
  </si>
  <si>
    <t>Startim</t>
  </si>
  <si>
    <t>Mineração Curimbaba</t>
  </si>
  <si>
    <t>L&amp;V</t>
  </si>
  <si>
    <t>Rogerio Lopes</t>
  </si>
  <si>
    <t>Ferreira e Ferreira</t>
  </si>
  <si>
    <t>solmin</t>
  </si>
  <si>
    <t>exp</t>
  </si>
  <si>
    <t>Tecnoiso</t>
  </si>
  <si>
    <t>Roberto Faria</t>
  </si>
  <si>
    <t>Joanyson</t>
  </si>
  <si>
    <t>Ione</t>
  </si>
  <si>
    <t>Victor Pompeu</t>
  </si>
  <si>
    <t>Daniel P</t>
  </si>
  <si>
    <t>Wellerson</t>
  </si>
  <si>
    <t>Metrologia</t>
  </si>
  <si>
    <t>Monica</t>
  </si>
  <si>
    <t>Elo Equip</t>
  </si>
  <si>
    <t>Carvalho</t>
  </si>
  <si>
    <t>Anuncio Site</t>
  </si>
  <si>
    <t>Jakubowski</t>
  </si>
  <si>
    <t>evidence</t>
  </si>
  <si>
    <t>acopronto</t>
  </si>
  <si>
    <t>anuncio black/insta/protempex</t>
  </si>
  <si>
    <t>Antonio Lunelli</t>
  </si>
  <si>
    <t>Dortbusiness</t>
  </si>
  <si>
    <t>xavier</t>
  </si>
  <si>
    <t>Felipe</t>
  </si>
  <si>
    <t>MedCorp</t>
  </si>
  <si>
    <t>Royal</t>
  </si>
  <si>
    <t>Gilson</t>
  </si>
  <si>
    <t>Eduardo Leal</t>
  </si>
  <si>
    <t>Samara</t>
  </si>
  <si>
    <t xml:space="preserve">Aline /Luiz </t>
  </si>
  <si>
    <t>Unimed - Alto Uruguai</t>
  </si>
  <si>
    <t>Soldagases</t>
  </si>
  <si>
    <t>Temis</t>
  </si>
  <si>
    <t>Projenor</t>
  </si>
  <si>
    <t>Valdiro</t>
  </si>
  <si>
    <t>Riolin</t>
  </si>
  <si>
    <t>Vital Med</t>
  </si>
  <si>
    <t>Eduardo Lagreca</t>
  </si>
  <si>
    <t>Renato Martinez</t>
  </si>
  <si>
    <t>Felipe Souza</t>
  </si>
  <si>
    <t>Claudio Borges</t>
  </si>
  <si>
    <t>Valeria Neumann</t>
  </si>
  <si>
    <t>Antonio Carlos</t>
  </si>
  <si>
    <t>Barros</t>
  </si>
  <si>
    <t>Gardener</t>
  </si>
  <si>
    <t>M M Consultoria</t>
  </si>
  <si>
    <t>Gabriela</t>
  </si>
  <si>
    <t>Protegy Seg</t>
  </si>
  <si>
    <t>Potencial</t>
  </si>
  <si>
    <t>Thais Fonseca</t>
  </si>
  <si>
    <t>Ana Longo</t>
  </si>
  <si>
    <t>Gilson Jair</t>
  </si>
  <si>
    <t>Natalia A</t>
  </si>
  <si>
    <t>Daniel Basegio</t>
  </si>
  <si>
    <t>Cintia Souza</t>
  </si>
  <si>
    <t>Dhayfferson</t>
  </si>
  <si>
    <t>Malharia Anselmo</t>
  </si>
  <si>
    <t>Luciano Cruz</t>
  </si>
  <si>
    <t>Ivan</t>
  </si>
  <si>
    <t>Belmont</t>
  </si>
  <si>
    <t>Alessandro Machado</t>
  </si>
  <si>
    <t>Magno</t>
  </si>
  <si>
    <t>Invitalis</t>
  </si>
  <si>
    <t>Consultoria e Assessoria</t>
  </si>
  <si>
    <t>Eisenhower</t>
  </si>
  <si>
    <t>Antigo ped 15605</t>
  </si>
  <si>
    <t>Latam</t>
  </si>
  <si>
    <t>Tiago Reboucas</t>
  </si>
  <si>
    <t>Indicação</t>
  </si>
  <si>
    <t>Jair</t>
  </si>
  <si>
    <t>Ubermed</t>
  </si>
  <si>
    <t>Irving</t>
  </si>
  <si>
    <t>Anuncio site</t>
  </si>
  <si>
    <t>Realizou a troca do CR4-pedido 15467</t>
  </si>
  <si>
    <t>Cest</t>
  </si>
  <si>
    <t>Conservas Oderich</t>
  </si>
  <si>
    <t>Universal Chemical</t>
  </si>
  <si>
    <t>Saude Prev</t>
  </si>
  <si>
    <t>Gregory</t>
  </si>
  <si>
    <t>Resgate Clinica</t>
  </si>
  <si>
    <t>Regis</t>
  </si>
  <si>
    <t>Edsom</t>
  </si>
  <si>
    <t>Fillipe</t>
  </si>
  <si>
    <t>Multiclinica</t>
  </si>
  <si>
    <t>Augusto</t>
  </si>
  <si>
    <t>Yury</t>
  </si>
  <si>
    <t>Cristiano Mendes</t>
  </si>
  <si>
    <t>M R S</t>
  </si>
  <si>
    <t>doctor</t>
  </si>
  <si>
    <t>Helder</t>
  </si>
  <si>
    <t>João Pedro</t>
  </si>
  <si>
    <t>EMS Naval</t>
  </si>
  <si>
    <t>Work Safety</t>
  </si>
  <si>
    <t>Meta Ads - Toda linha</t>
  </si>
  <si>
    <t>Meta Ads - Kit KHO</t>
  </si>
  <si>
    <t>Xsolution</t>
  </si>
  <si>
    <t>HB solucoes</t>
  </si>
  <si>
    <t>Elenilso</t>
  </si>
  <si>
    <t>Fernanda</t>
  </si>
  <si>
    <t>Rubens</t>
  </si>
  <si>
    <t>Rodrigo</t>
  </si>
  <si>
    <t>Pro-saude</t>
  </si>
  <si>
    <t>Silvana</t>
  </si>
  <si>
    <t>Ciccone</t>
  </si>
  <si>
    <t xml:space="preserve">quimica </t>
  </si>
  <si>
    <t>Alexandre Pacheco</t>
  </si>
  <si>
    <t>grupo ecologico</t>
  </si>
  <si>
    <t>Cleandro</t>
  </si>
  <si>
    <t>Grazielle</t>
  </si>
  <si>
    <t>Danielly</t>
  </si>
  <si>
    <t>André</t>
  </si>
  <si>
    <t>Lívia</t>
  </si>
  <si>
    <t>Helloyse</t>
  </si>
  <si>
    <t>Fcorrea</t>
  </si>
  <si>
    <t>Mariana</t>
  </si>
  <si>
    <t>Joseilson</t>
  </si>
  <si>
    <t>Tavseg</t>
  </si>
  <si>
    <t>Marcelo Mateus</t>
  </si>
  <si>
    <t>Uniaso</t>
  </si>
  <si>
    <t>Laborei</t>
  </si>
  <si>
    <t>Solute</t>
  </si>
  <si>
    <t>SALDO ATUAL</t>
  </si>
  <si>
    <t>Bez &amp; D'Almeida</t>
  </si>
  <si>
    <t>Anuncio kit KHO</t>
  </si>
  <si>
    <t>Murilo</t>
  </si>
  <si>
    <t>Paulo</t>
  </si>
  <si>
    <t>Henry</t>
  </si>
  <si>
    <t>Gildasio</t>
  </si>
  <si>
    <t>Mateus</t>
  </si>
  <si>
    <t>Allan</t>
  </si>
  <si>
    <t>Emerson</t>
  </si>
  <si>
    <t>Viterseg</t>
  </si>
  <si>
    <t>Coseg</t>
  </si>
  <si>
    <t>Instituto Pro Hemo</t>
  </si>
  <si>
    <t>Anúncio Protemp Extreme FEV</t>
  </si>
  <si>
    <t>Pro med</t>
  </si>
  <si>
    <t>WAF</t>
  </si>
  <si>
    <t>INDICAÇÃO (N SEI DE QUEM)</t>
  </si>
  <si>
    <t>REFIT</t>
  </si>
  <si>
    <t>CANCELAMENTO PEDIDO FEVEREIRO</t>
  </si>
  <si>
    <t>seconci</t>
  </si>
  <si>
    <t>C2 Consult</t>
  </si>
  <si>
    <t>instituição adventista</t>
  </si>
  <si>
    <t>belenus</t>
  </si>
  <si>
    <t>Marilizy</t>
  </si>
  <si>
    <t>Wander</t>
  </si>
  <si>
    <t>Messias</t>
  </si>
  <si>
    <t>Fabiana</t>
  </si>
  <si>
    <t>A &amp; L</t>
  </si>
  <si>
    <t>Tarcio</t>
  </si>
  <si>
    <t>Danilo</t>
  </si>
  <si>
    <t>Willian</t>
  </si>
  <si>
    <t>Henrique</t>
  </si>
  <si>
    <t>Hismet</t>
  </si>
  <si>
    <t>Formis</t>
  </si>
  <si>
    <t>Lidiane</t>
  </si>
  <si>
    <t>(sairá 25/03)</t>
  </si>
  <si>
    <t>Integral</t>
  </si>
  <si>
    <t>São Lucas</t>
  </si>
  <si>
    <t>Ecocerta</t>
  </si>
  <si>
    <t xml:space="preserve">Ana Paula </t>
  </si>
  <si>
    <t>Gad's</t>
  </si>
  <si>
    <t>Aquavita</t>
  </si>
  <si>
    <t>universal leaf</t>
  </si>
  <si>
    <t>Ilhatec</t>
  </si>
  <si>
    <t>Matheus</t>
  </si>
  <si>
    <t>Setrab</t>
  </si>
  <si>
    <t>Dabvi</t>
  </si>
  <si>
    <t>Wekisley</t>
  </si>
  <si>
    <t>Segme</t>
  </si>
  <si>
    <t>nery</t>
  </si>
  <si>
    <t>MSBA</t>
  </si>
  <si>
    <t>Rolwes</t>
  </si>
  <si>
    <t>DEVOLUÇÃO</t>
  </si>
  <si>
    <t>Engmust</t>
  </si>
  <si>
    <t>Fernando</t>
  </si>
  <si>
    <t>Giovanni</t>
  </si>
  <si>
    <t>Emanuel</t>
  </si>
  <si>
    <t>TAI Consultoria</t>
  </si>
  <si>
    <t>SS de Oliveira</t>
  </si>
  <si>
    <t>mho</t>
  </si>
  <si>
    <t>anuncio prot ext</t>
  </si>
  <si>
    <t>NR Work</t>
  </si>
  <si>
    <t>Rafael</t>
  </si>
  <si>
    <t>SMS Group</t>
  </si>
  <si>
    <t>Ritech</t>
  </si>
  <si>
    <t>Expertise</t>
  </si>
  <si>
    <t>Anúncio Protemp Extreme INSTA</t>
  </si>
  <si>
    <t>FAS</t>
  </si>
  <si>
    <t>Fabricio</t>
  </si>
  <si>
    <t>Schwed</t>
  </si>
  <si>
    <t>Sirlene</t>
  </si>
  <si>
    <t>Fabiano</t>
  </si>
  <si>
    <t>Noedson</t>
  </si>
  <si>
    <t>Fabio</t>
  </si>
  <si>
    <t>ibm</t>
  </si>
  <si>
    <t>Passos A</t>
  </si>
  <si>
    <t>QUALISEG</t>
  </si>
  <si>
    <t>Origem: Shopping</t>
  </si>
  <si>
    <t>S.C. Dias</t>
  </si>
  <si>
    <t>Marcelo Martinez</t>
  </si>
  <si>
    <t>Medical</t>
  </si>
  <si>
    <t>Netzero</t>
  </si>
  <si>
    <t>Sonia</t>
  </si>
  <si>
    <t>Média/dia até 31/03</t>
  </si>
  <si>
    <t>Maria</t>
  </si>
  <si>
    <t>Mauricio</t>
  </si>
  <si>
    <t>Destaque</t>
  </si>
  <si>
    <t>Cremest</t>
  </si>
  <si>
    <t>Tiago</t>
  </si>
  <si>
    <t>Clinica Medica</t>
  </si>
  <si>
    <t>Gustavo</t>
  </si>
  <si>
    <t>Frigorifico</t>
  </si>
  <si>
    <t>Biotech</t>
  </si>
  <si>
    <t xml:space="preserve">anuncio site </t>
  </si>
  <si>
    <t>Atlantico</t>
  </si>
  <si>
    <t>Anúncio Black</t>
  </si>
  <si>
    <t>safety</t>
  </si>
  <si>
    <t>MBData</t>
  </si>
  <si>
    <t>Luiza</t>
  </si>
  <si>
    <t>sb seg</t>
  </si>
  <si>
    <t>Oi! Vim pelo site e gostaria de falar com um especialista.</t>
  </si>
  <si>
    <t>prudencia</t>
  </si>
  <si>
    <t>angelis</t>
  </si>
  <si>
    <t>MARÇO</t>
  </si>
  <si>
    <t>Cesconetto</t>
  </si>
  <si>
    <t>Gestao</t>
  </si>
  <si>
    <t>Ana</t>
  </si>
  <si>
    <t>Ittus</t>
  </si>
  <si>
    <t>Companhia Minuano</t>
  </si>
  <si>
    <t>Ame</t>
  </si>
  <si>
    <t>Rioto Saude</t>
  </si>
  <si>
    <t>Karlos</t>
  </si>
  <si>
    <t>Sirius</t>
  </si>
  <si>
    <t>Joedson</t>
  </si>
  <si>
    <t>Everton</t>
  </si>
  <si>
    <t>Frederico</t>
  </si>
  <si>
    <t>Jeliston</t>
  </si>
  <si>
    <t>global</t>
  </si>
  <si>
    <t>repescagem promo março</t>
  </si>
  <si>
    <t>Viver</t>
  </si>
  <si>
    <t>Previna</t>
  </si>
  <si>
    <t>Alexandre Amaral</t>
  </si>
  <si>
    <t>Zuki</t>
  </si>
  <si>
    <t>(04/04)</t>
  </si>
  <si>
    <t>Eder</t>
  </si>
  <si>
    <t>HSM</t>
  </si>
  <si>
    <t>Impacto</t>
  </si>
  <si>
    <t>Excellence</t>
  </si>
  <si>
    <t>Ampro</t>
  </si>
  <si>
    <t>KGS</t>
  </si>
  <si>
    <t>Victor</t>
  </si>
  <si>
    <t>Faltou faturar do mês anterior</t>
  </si>
  <si>
    <t>Não foi faturado esse valor em Março</t>
  </si>
  <si>
    <t xml:space="preserve">Diego </t>
  </si>
  <si>
    <t>DRT</t>
  </si>
  <si>
    <t>Thiago</t>
  </si>
  <si>
    <t>Miguel</t>
  </si>
  <si>
    <t>Ravi Med</t>
  </si>
  <si>
    <t>Stephanie</t>
  </si>
  <si>
    <t>Ellitec</t>
  </si>
  <si>
    <t>Jose</t>
  </si>
  <si>
    <t>Alciele</t>
  </si>
  <si>
    <t>Elaine</t>
  </si>
  <si>
    <t>Antonio</t>
  </si>
  <si>
    <t>Quanttec</t>
  </si>
  <si>
    <t>Damares</t>
  </si>
  <si>
    <t>clinica lobo</t>
  </si>
  <si>
    <t>Docile</t>
  </si>
  <si>
    <t>Humberto</t>
  </si>
  <si>
    <t>Wendy</t>
  </si>
  <si>
    <t>Erico</t>
  </si>
  <si>
    <t>Guilherme</t>
  </si>
  <si>
    <t>Alderico</t>
  </si>
  <si>
    <t>Lilian</t>
  </si>
  <si>
    <t xml:space="preserve">KL Solucoes </t>
  </si>
  <si>
    <t>Ideal</t>
  </si>
  <si>
    <t>Anúncio insta - Accura Elite</t>
  </si>
  <si>
    <t>L&amp;M</t>
  </si>
  <si>
    <t>Pedro da Silva</t>
  </si>
  <si>
    <t>Patricia</t>
  </si>
  <si>
    <t>Anderson</t>
  </si>
  <si>
    <t>Eleanderson</t>
  </si>
  <si>
    <t>Leticia</t>
  </si>
  <si>
    <t>Chuang</t>
  </si>
  <si>
    <t>LCM</t>
  </si>
  <si>
    <t>T F TEIXEIRA</t>
  </si>
  <si>
    <t>hemerson</t>
  </si>
  <si>
    <t>João</t>
  </si>
  <si>
    <t>Lumina</t>
  </si>
  <si>
    <t>Regis Aparecido</t>
  </si>
  <si>
    <t>Adrian Diniz</t>
  </si>
  <si>
    <t>Caroline</t>
  </si>
  <si>
    <t>Cleber</t>
  </si>
  <si>
    <t>Martins</t>
  </si>
  <si>
    <t>toximed</t>
  </si>
  <si>
    <t>Raphael</t>
  </si>
  <si>
    <t>Atualiza</t>
  </si>
  <si>
    <t>Igua</t>
  </si>
  <si>
    <t>20 dias úteis</t>
  </si>
  <si>
    <t>Itaesbra</t>
  </si>
  <si>
    <t>Clinica Medica Carezia</t>
  </si>
  <si>
    <t>Comprev</t>
  </si>
  <si>
    <t>expreven</t>
  </si>
  <si>
    <t>promo ml relampago</t>
  </si>
  <si>
    <t>ST Consult</t>
  </si>
  <si>
    <t>Prevsul</t>
  </si>
  <si>
    <t>Planamed</t>
  </si>
  <si>
    <t>Laped</t>
  </si>
  <si>
    <t>Carlos</t>
  </si>
  <si>
    <t>Bianca</t>
  </si>
  <si>
    <t>Energygraf</t>
  </si>
  <si>
    <t>Daniel</t>
  </si>
  <si>
    <t>Renata</t>
  </si>
  <si>
    <t>Proteminas 2026</t>
  </si>
  <si>
    <t>Edcleiton</t>
  </si>
  <si>
    <t>Luiz</t>
  </si>
  <si>
    <t>Valeria</t>
  </si>
  <si>
    <t>Duev</t>
  </si>
  <si>
    <t>Alternativa</t>
  </si>
  <si>
    <t>Ednardo</t>
  </si>
  <si>
    <t>Isabela</t>
  </si>
  <si>
    <t>Fabiula</t>
  </si>
  <si>
    <t>Constroeste</t>
  </si>
  <si>
    <t>Carraro</t>
  </si>
  <si>
    <t>Johnatan</t>
  </si>
  <si>
    <t>José Renato</t>
  </si>
  <si>
    <t>Fabio Ferreira</t>
  </si>
  <si>
    <t>Mariano Consult</t>
  </si>
  <si>
    <t>Salubrita saude</t>
  </si>
  <si>
    <t>ASMET Assessoria</t>
  </si>
  <si>
    <t>nivia</t>
  </si>
  <si>
    <t>Autometal</t>
  </si>
  <si>
    <t>MSP</t>
  </si>
  <si>
    <t>Salete</t>
  </si>
  <si>
    <t>Natalia</t>
  </si>
  <si>
    <t>Marly</t>
  </si>
  <si>
    <t>Eduardo</t>
  </si>
  <si>
    <t>VJ</t>
  </si>
  <si>
    <t>Barbosa &amp; Barreto</t>
  </si>
  <si>
    <t>implamerica</t>
  </si>
  <si>
    <t>META NOSSA</t>
  </si>
  <si>
    <t>Med Fast</t>
  </si>
  <si>
    <t>Resende</t>
  </si>
  <si>
    <t>Munic Bom Principio</t>
  </si>
  <si>
    <t>formis</t>
  </si>
  <si>
    <t>Proteminas 2026 - 17/04</t>
  </si>
  <si>
    <t>Proteminas 2026 - 15/04</t>
  </si>
  <si>
    <t>ll ambienta</t>
  </si>
  <si>
    <t>bater proposta inlite</t>
  </si>
  <si>
    <t>Mirante</t>
  </si>
  <si>
    <t>Gilmar</t>
  </si>
  <si>
    <t>Inova</t>
  </si>
  <si>
    <t>David Emanuel</t>
  </si>
  <si>
    <t>Segpro</t>
  </si>
  <si>
    <t>Elisa</t>
  </si>
  <si>
    <t>Rede de pesquisa</t>
  </si>
  <si>
    <t>JMK</t>
  </si>
  <si>
    <t>Ovlande</t>
  </si>
  <si>
    <t>Sergio</t>
  </si>
  <si>
    <t>ZETAMED</t>
  </si>
  <si>
    <t>plis</t>
  </si>
  <si>
    <t>Prevenir</t>
  </si>
  <si>
    <t>Galileu</t>
  </si>
  <si>
    <t xml:space="preserve">MS Rocha </t>
  </si>
  <si>
    <t>sesi</t>
  </si>
  <si>
    <t>Lais</t>
  </si>
  <si>
    <t>Camila</t>
  </si>
  <si>
    <t>Alpheu</t>
  </si>
  <si>
    <t>Mayra</t>
  </si>
  <si>
    <t>Julia</t>
  </si>
  <si>
    <t>unimed vale</t>
  </si>
  <si>
    <t>Ideia</t>
  </si>
  <si>
    <t>Ambiens</t>
  </si>
  <si>
    <t>Escala</t>
  </si>
  <si>
    <t>Alejandro</t>
  </si>
  <si>
    <t>Plinia</t>
  </si>
  <si>
    <t>Engenthus</t>
  </si>
  <si>
    <t>Shopping</t>
  </si>
  <si>
    <t>SEO</t>
  </si>
  <si>
    <t>Anúncio insta - Vibrate</t>
  </si>
  <si>
    <t>Casa verde</t>
  </si>
  <si>
    <t>Doze</t>
  </si>
  <si>
    <t>Nova SST</t>
  </si>
  <si>
    <t>unimed chapeco</t>
  </si>
  <si>
    <t>W Faccioli</t>
  </si>
  <si>
    <t>Roberto</t>
  </si>
  <si>
    <t>Claudia</t>
  </si>
  <si>
    <t>Prisma</t>
  </si>
  <si>
    <t>mv segurança</t>
  </si>
  <si>
    <t>SERVICO SOCIAL</t>
  </si>
  <si>
    <t>Pro-Saude</t>
  </si>
  <si>
    <t>Ismet</t>
  </si>
  <si>
    <t>DNASeg</t>
  </si>
  <si>
    <t>Sabor mês do consumidor</t>
  </si>
  <si>
    <t>Adaliane</t>
  </si>
  <si>
    <t>Safeamb</t>
  </si>
  <si>
    <t>Elm</t>
  </si>
  <si>
    <t>Prevent</t>
  </si>
  <si>
    <t>Bruna</t>
  </si>
  <si>
    <t>Giovanna</t>
  </si>
  <si>
    <t>Ana Cecilia</t>
  </si>
  <si>
    <t>Francisney</t>
  </si>
  <si>
    <t>Jerpheson</t>
  </si>
  <si>
    <t>Origem: SEO</t>
  </si>
  <si>
    <t>souza</t>
  </si>
  <si>
    <t>Teranutri</t>
  </si>
  <si>
    <t>Supermercado Rossi</t>
  </si>
  <si>
    <t>Thiago Monteiro</t>
  </si>
  <si>
    <t>Galvão</t>
  </si>
  <si>
    <t>Anuncio Face</t>
  </si>
  <si>
    <t xml:space="preserve">Unimed </t>
  </si>
  <si>
    <t>Média/dia até 30/04</t>
  </si>
  <si>
    <t>Cooperativa Alfa</t>
  </si>
  <si>
    <t>F. S do Nascimento</t>
  </si>
  <si>
    <t>Manoel</t>
  </si>
  <si>
    <t>Instrumed</t>
  </si>
  <si>
    <t>Ronaldo</t>
  </si>
  <si>
    <t>GMED</t>
  </si>
  <si>
    <t>M S M Serviços</t>
  </si>
  <si>
    <t>Anúncio Insta - kit KHO</t>
  </si>
  <si>
    <t>De lima</t>
  </si>
  <si>
    <t>GSM</t>
  </si>
  <si>
    <t>M S Moro</t>
  </si>
  <si>
    <t xml:space="preserve">fpg </t>
  </si>
  <si>
    <t>Policlinica</t>
  </si>
  <si>
    <t>JCR</t>
  </si>
  <si>
    <t>Technos</t>
  </si>
  <si>
    <t>ABRIL</t>
  </si>
  <si>
    <t>Dinamica</t>
  </si>
  <si>
    <t>SST Consultoria</t>
  </si>
  <si>
    <t>Riclan</t>
  </si>
  <si>
    <t>FATURAMENTO DIRETO DO SAP</t>
  </si>
  <si>
    <t>Ammarhes</t>
  </si>
  <si>
    <t>brandalise</t>
  </si>
  <si>
    <t>Aline Garcia</t>
  </si>
  <si>
    <t>João Gabriel</t>
  </si>
  <si>
    <t>Safety</t>
  </si>
  <si>
    <t>Izaias</t>
  </si>
  <si>
    <t>Coop Santa Clara</t>
  </si>
  <si>
    <t>GRECOL</t>
  </si>
  <si>
    <t>EXP - CALIBRADOR QUE N FOI FATURADO PED 16023</t>
  </si>
  <si>
    <t>Celacanto</t>
  </si>
  <si>
    <t>Seara</t>
  </si>
  <si>
    <t>Multimed</t>
  </si>
  <si>
    <t>Darlley</t>
  </si>
  <si>
    <t>Feira Proteminas</t>
  </si>
  <si>
    <t>Alexandre Morais</t>
  </si>
  <si>
    <t>Mantendo valor Mercado Livre</t>
  </si>
  <si>
    <t>Mioprev</t>
  </si>
  <si>
    <t>felix</t>
  </si>
  <si>
    <t>gringo compra nacional</t>
  </si>
  <si>
    <t>Juliana</t>
  </si>
  <si>
    <t>Marcio</t>
  </si>
  <si>
    <t>Cimartec</t>
  </si>
  <si>
    <t>Itaparica</t>
  </si>
  <si>
    <t>CEC Consultoria</t>
  </si>
  <si>
    <t>Alianca</t>
  </si>
  <si>
    <t>Sol</t>
  </si>
  <si>
    <t>Renato</t>
  </si>
  <si>
    <t>Ricardo</t>
  </si>
  <si>
    <t>Gabriel</t>
  </si>
  <si>
    <t>Clinica Sato LTDA</t>
  </si>
  <si>
    <t>Germano</t>
  </si>
  <si>
    <t>Aline</t>
  </si>
  <si>
    <t>Luciano</t>
  </si>
  <si>
    <t>Atemto</t>
  </si>
  <si>
    <t>Priscilla</t>
  </si>
  <si>
    <t>Arthur</t>
  </si>
  <si>
    <t>Laura</t>
  </si>
  <si>
    <t xml:space="preserve">sous e santos </t>
  </si>
  <si>
    <t>contato do dias</t>
  </si>
  <si>
    <t>Adclin</t>
  </si>
  <si>
    <t>Fertilizantes</t>
  </si>
  <si>
    <t>Hedylanne</t>
  </si>
  <si>
    <t>Cliente Dias</t>
  </si>
  <si>
    <t>Vale Paraiba</t>
  </si>
  <si>
    <t>SMC</t>
  </si>
  <si>
    <t>Louise</t>
  </si>
  <si>
    <t>Leandro</t>
  </si>
  <si>
    <t>Salubrita</t>
  </si>
  <si>
    <t>Francinara</t>
  </si>
  <si>
    <t>META EMPRESA/NOSSA</t>
  </si>
  <si>
    <t>Marco Antonio</t>
  </si>
  <si>
    <t>fp reis</t>
  </si>
  <si>
    <t>meta ads</t>
  </si>
  <si>
    <t>PGR</t>
  </si>
  <si>
    <t>Elaine de Fatima</t>
  </si>
  <si>
    <t>Jose Roberto</t>
  </si>
  <si>
    <t>Medtrab</t>
  </si>
  <si>
    <t>Brenda</t>
  </si>
  <si>
    <t>Douglas</t>
  </si>
  <si>
    <t>Ronildo</t>
  </si>
  <si>
    <t>Marilia</t>
  </si>
  <si>
    <t>s3</t>
  </si>
  <si>
    <t>TECHPERU</t>
  </si>
  <si>
    <t>EXP</t>
  </si>
  <si>
    <t>KF Consultoria</t>
  </si>
  <si>
    <t>Geraldo</t>
  </si>
  <si>
    <t>Nova Exatta</t>
  </si>
  <si>
    <t>Organica</t>
  </si>
  <si>
    <t>Bruno</t>
  </si>
  <si>
    <t>MC Service</t>
  </si>
  <si>
    <t>Paromed</t>
  </si>
  <si>
    <t>elev</t>
  </si>
  <si>
    <t>Antonia</t>
  </si>
  <si>
    <t>Alphaseg</t>
  </si>
  <si>
    <t>Almeida</t>
  </si>
  <si>
    <t>Rigo</t>
  </si>
  <si>
    <t>Livre Arq</t>
  </si>
  <si>
    <t>SRF</t>
  </si>
  <si>
    <t>Megatrab</t>
  </si>
  <si>
    <t>Inseg</t>
  </si>
  <si>
    <t>Chrompack</t>
  </si>
  <si>
    <t>Luciana</t>
  </si>
  <si>
    <t>Iuri</t>
  </si>
  <si>
    <t>MJS</t>
  </si>
  <si>
    <t>baldor</t>
  </si>
  <si>
    <t>centro empresarial</t>
  </si>
  <si>
    <t>Ergoss</t>
  </si>
  <si>
    <t>Igua Sergipe</t>
  </si>
  <si>
    <t>venda por publicidade</t>
  </si>
  <si>
    <t>Alex</t>
  </si>
  <si>
    <t>Medit</t>
  </si>
  <si>
    <t>Rasis</t>
  </si>
  <si>
    <t>Ana Paula</t>
  </si>
  <si>
    <t>Gilberto</t>
  </si>
  <si>
    <t>Linksoldas</t>
  </si>
  <si>
    <t>Anarelli</t>
  </si>
  <si>
    <t>Shopping - Hyper</t>
  </si>
  <si>
    <t>Jose Moreira</t>
  </si>
  <si>
    <t xml:space="preserve"> NÃO FOI FATURADO MÊS PASSADO</t>
  </si>
  <si>
    <t>NVTro</t>
  </si>
  <si>
    <t>lel</t>
  </si>
  <si>
    <t>Ally</t>
  </si>
  <si>
    <t>jmc</t>
  </si>
  <si>
    <t>Rafaela</t>
  </si>
  <si>
    <t>Regina</t>
  </si>
  <si>
    <t>Juliane</t>
  </si>
  <si>
    <t>Alexandre Dias</t>
  </si>
  <si>
    <t>ND Medicina</t>
  </si>
  <si>
    <t>% DO TOTAL FEITO/DIA</t>
  </si>
  <si>
    <t>% NECESSÁRIA</t>
  </si>
  <si>
    <t>E Saude</t>
  </si>
  <si>
    <t>Casa Verde</t>
  </si>
  <si>
    <t>Companhia</t>
  </si>
  <si>
    <t>Jose Renato</t>
  </si>
  <si>
    <t>Engeprom</t>
  </si>
  <si>
    <t>Aratec</t>
  </si>
  <si>
    <t>Acumuladores Moura</t>
  </si>
  <si>
    <t>Zanchetta</t>
  </si>
  <si>
    <t xml:space="preserve">Arg </t>
  </si>
  <si>
    <t>DVG</t>
  </si>
  <si>
    <t>Pedro</t>
  </si>
  <si>
    <t>Lucas</t>
  </si>
  <si>
    <t>Thais</t>
  </si>
  <si>
    <t>Fundação</t>
  </si>
  <si>
    <t>Leadec</t>
  </si>
  <si>
    <t>W. Faccioli</t>
  </si>
  <si>
    <t>Pro vale</t>
  </si>
  <si>
    <t>clinorth</t>
  </si>
  <si>
    <t>Isac</t>
  </si>
  <si>
    <t>Iago</t>
  </si>
  <si>
    <t>Diogo</t>
  </si>
  <si>
    <t>Claudiney</t>
  </si>
  <si>
    <t>Dario</t>
  </si>
  <si>
    <t xml:space="preserve">Jose </t>
  </si>
  <si>
    <t>Igor</t>
  </si>
  <si>
    <t>Navarro</t>
  </si>
  <si>
    <t>antigo 16743</t>
  </si>
  <si>
    <t>Vital</t>
  </si>
  <si>
    <t>Jeter</t>
  </si>
  <si>
    <t>ERICK</t>
  </si>
  <si>
    <t>R S Duraes</t>
  </si>
  <si>
    <t>Elise</t>
  </si>
  <si>
    <t>Agro Nova Galia</t>
  </si>
  <si>
    <t>Claudemir</t>
  </si>
  <si>
    <t>Rianne</t>
  </si>
  <si>
    <t>Graziela</t>
  </si>
  <si>
    <t>Justin</t>
  </si>
  <si>
    <t>adriano</t>
  </si>
  <si>
    <t>Origem: Rede de Pesquisa</t>
  </si>
  <si>
    <t>Mauro</t>
  </si>
  <si>
    <t>P B</t>
  </si>
  <si>
    <t>Arg Seg</t>
  </si>
  <si>
    <t>CV Treinamentos</t>
  </si>
  <si>
    <t>Projetosprev</t>
  </si>
  <si>
    <t>Itarantim</t>
  </si>
  <si>
    <t>Pro Saude</t>
  </si>
  <si>
    <t>segal</t>
  </si>
  <si>
    <t>Marcelo Pinheiro</t>
  </si>
  <si>
    <t>Protegy</t>
  </si>
  <si>
    <t>Daiwydson</t>
  </si>
  <si>
    <t>Thaynara</t>
  </si>
  <si>
    <t>Santuario Aparecida</t>
  </si>
  <si>
    <t>Izabella</t>
  </si>
  <si>
    <t>Média/dia até 28/05</t>
  </si>
  <si>
    <t>Progeplan</t>
  </si>
  <si>
    <t>Frigorifico Nicolini</t>
  </si>
  <si>
    <t>Lucileia</t>
  </si>
  <si>
    <t>Valor do mercado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</si>
</sst>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D0D0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4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4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10" xfId="0" applyFill="1" applyBorder="1" applyAlignment="1">
      <alignment horizontal="center" vertical="center"/>
    </xf>
    <xf numFmtId="44" fontId="0" fillId="2" borderId="11" xfId="0" applyNumberFormat="1" applyFill="1" applyBorder="1" applyAlignment="1">
      <alignment horizontal="right" vertical="center"/>
    </xf>
    <xf numFmtId="0" fontId="0" fillId="3" borderId="7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44" fontId="0" fillId="3" borderId="8" xfId="0" applyNumberFormat="1" applyFill="1" applyBorder="1" applyAlignment="1">
      <alignment horizontal="right"/>
    </xf>
    <xf numFmtId="44" fontId="0" fillId="2" borderId="14" xfId="0" applyNumberFormat="1" applyFill="1" applyBorder="1" applyAlignment="1">
      <alignment horizontal="right" vertical="center"/>
    </xf>
    <xf numFmtId="44" fontId="0" fillId="2" borderId="8" xfId="0" applyNumberFormat="1" applyFill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44" fontId="1" fillId="0" borderId="17" xfId="0" applyNumberFormat="1" applyFont="1" applyBorder="1"/>
    <xf numFmtId="44" fontId="1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4" fontId="1" fillId="0" borderId="1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7" fontId="1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164" fontId="0" fillId="0" borderId="8" xfId="0" applyNumberFormat="1" applyBorder="1"/>
    <xf numFmtId="164" fontId="1" fillId="0" borderId="8" xfId="0" applyNumberFormat="1" applyFont="1" applyBorder="1"/>
    <xf numFmtId="0" fontId="0" fillId="0" borderId="21" xfId="0" applyBorder="1"/>
    <xf numFmtId="164" fontId="0" fillId="0" borderId="21" xfId="0" applyNumberFormat="1" applyBorder="1"/>
    <xf numFmtId="164" fontId="1" fillId="0" borderId="21" xfId="0" applyNumberFormat="1" applyFont="1" applyBorder="1"/>
    <xf numFmtId="17" fontId="1" fillId="0" borderId="22" xfId="0" applyNumberFormat="1" applyFont="1" applyBorder="1" applyAlignment="1">
      <alignment horizontal="center" vertical="center" wrapText="1"/>
    </xf>
    <xf numFmtId="17" fontId="1" fillId="0" borderId="23" xfId="0" applyNumberFormat="1" applyFont="1" applyBorder="1" applyAlignment="1">
      <alignment horizontal="center" vertical="center" wrapText="1"/>
    </xf>
    <xf numFmtId="17" fontId="1" fillId="0" borderId="24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 wrapText="1"/>
    </xf>
    <xf numFmtId="164" fontId="0" fillId="0" borderId="9" xfId="0" applyNumberFormat="1" applyBorder="1" applyAlignment="1">
      <alignment vertical="center" wrapText="1"/>
    </xf>
    <xf numFmtId="164" fontId="0" fillId="0" borderId="25" xfId="0" applyNumberFormat="1" applyBorder="1"/>
    <xf numFmtId="164" fontId="1" fillId="0" borderId="25" xfId="0" applyNumberFormat="1" applyFont="1" applyBorder="1"/>
    <xf numFmtId="164" fontId="1" fillId="0" borderId="26" xfId="0" applyNumberFormat="1" applyFont="1" applyBorder="1"/>
    <xf numFmtId="0" fontId="0" fillId="0" borderId="1" xfId="0" applyBorder="1"/>
    <xf numFmtId="164" fontId="0" fillId="0" borderId="3" xfId="0" applyNumberFormat="1" applyBorder="1"/>
    <xf numFmtId="0" fontId="0" fillId="0" borderId="23" xfId="0" applyBorder="1"/>
    <xf numFmtId="0" fontId="1" fillId="0" borderId="24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2" xfId="0" applyFont="1" applyBorder="1"/>
    <xf numFmtId="0" fontId="1" fillId="0" borderId="28" xfId="0" applyFon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0" fontId="1" fillId="0" borderId="2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44" fontId="1" fillId="0" borderId="13" xfId="1" applyFont="1" applyBorder="1" applyAlignment="1">
      <alignment horizontal="center" vertical="center"/>
    </xf>
    <xf numFmtId="44" fontId="1" fillId="0" borderId="28" xfId="0" applyNumberFormat="1" applyFont="1" applyBorder="1" applyAlignment="1">
      <alignment horizontal="center" vertical="center"/>
    </xf>
    <xf numFmtId="44" fontId="1" fillId="0" borderId="36" xfId="0" applyNumberFormat="1" applyFont="1" applyBorder="1"/>
    <xf numFmtId="0" fontId="0" fillId="0" borderId="38" xfId="0" applyBorder="1"/>
    <xf numFmtId="0" fontId="0" fillId="0" borderId="12" xfId="0" applyBorder="1"/>
    <xf numFmtId="164" fontId="0" fillId="0" borderId="39" xfId="0" applyNumberFormat="1" applyBorder="1"/>
    <xf numFmtId="164" fontId="0" fillId="0" borderId="28" xfId="0" applyNumberFormat="1" applyBorder="1"/>
    <xf numFmtId="164" fontId="1" fillId="0" borderId="17" xfId="0" applyNumberFormat="1" applyFont="1" applyBorder="1"/>
    <xf numFmtId="0" fontId="0" fillId="0" borderId="8" xfId="0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44" fontId="0" fillId="2" borderId="14" xfId="0" applyNumberFormat="1" applyFill="1" applyBorder="1" applyAlignment="1">
      <alignment horizontal="right"/>
    </xf>
    <xf numFmtId="0" fontId="0" fillId="2" borderId="10" xfId="0" applyFill="1" applyBorder="1" applyAlignment="1">
      <alignment horizontal="center"/>
    </xf>
    <xf numFmtId="44" fontId="0" fillId="2" borderId="11" xfId="0" applyNumberFormat="1" applyFill="1" applyBorder="1" applyAlignment="1">
      <alignment horizontal="right"/>
    </xf>
    <xf numFmtId="0" fontId="3" fillId="0" borderId="0" xfId="0" applyFont="1"/>
    <xf numFmtId="0" fontId="4" fillId="0" borderId="0" xfId="0" applyFont="1"/>
    <xf numFmtId="44" fontId="1" fillId="0" borderId="36" xfId="1" applyFont="1" applyBorder="1" applyAlignment="1">
      <alignment horizontal="center" vertical="center"/>
    </xf>
    <xf numFmtId="9" fontId="1" fillId="0" borderId="28" xfId="0" applyNumberFormat="1" applyFont="1" applyBorder="1"/>
    <xf numFmtId="3" fontId="0" fillId="0" borderId="11" xfId="0" applyNumberFormat="1" applyBorder="1" applyAlignment="1">
      <alignment horizontal="center"/>
    </xf>
    <xf numFmtId="0" fontId="0" fillId="0" borderId="8" xfId="0" applyBorder="1"/>
    <xf numFmtId="164" fontId="0" fillId="0" borderId="27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/>
    </xf>
    <xf numFmtId="164" fontId="1" fillId="0" borderId="25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9" fontId="0" fillId="0" borderId="8" xfId="0" applyNumberFormat="1" applyBorder="1"/>
    <xf numFmtId="164" fontId="0" fillId="0" borderId="12" xfId="0" applyNumberFormat="1" applyBorder="1"/>
    <xf numFmtId="0" fontId="1" fillId="0" borderId="0" xfId="0" applyFont="1"/>
    <xf numFmtId="9" fontId="1" fillId="0" borderId="0" xfId="0" applyNumberFormat="1" applyFont="1"/>
    <xf numFmtId="9" fontId="0" fillId="0" borderId="5" xfId="0" applyNumberFormat="1" applyBorder="1"/>
    <xf numFmtId="0" fontId="1" fillId="0" borderId="41" xfId="0" applyFont="1" applyBorder="1"/>
    <xf numFmtId="0" fontId="1" fillId="0" borderId="42" xfId="0" applyFont="1" applyBorder="1"/>
    <xf numFmtId="0" fontId="1" fillId="0" borderId="26" xfId="0" applyFont="1" applyBorder="1"/>
    <xf numFmtId="0" fontId="1" fillId="0" borderId="40" xfId="0" applyFont="1" applyBorder="1"/>
    <xf numFmtId="0" fontId="1" fillId="0" borderId="38" xfId="0" applyFont="1" applyBorder="1"/>
    <xf numFmtId="9" fontId="0" fillId="0" borderId="11" xfId="0" applyNumberFormat="1" applyBorder="1"/>
    <xf numFmtId="9" fontId="0" fillId="0" borderId="16" xfId="0" applyNumberFormat="1" applyBorder="1"/>
    <xf numFmtId="0" fontId="1" fillId="0" borderId="28" xfId="0" applyFont="1" applyBorder="1" applyAlignment="1">
      <alignment horizontal="right"/>
    </xf>
    <xf numFmtId="10" fontId="0" fillId="0" borderId="8" xfId="0" applyNumberFormat="1" applyBorder="1"/>
    <xf numFmtId="10" fontId="0" fillId="0" borderId="5" xfId="0" applyNumberFormat="1" applyBorder="1"/>
    <xf numFmtId="10" fontId="1" fillId="0" borderId="28" xfId="0" applyNumberFormat="1" applyFont="1" applyBorder="1"/>
    <xf numFmtId="10" fontId="0" fillId="0" borderId="11" xfId="0" applyNumberFormat="1" applyBorder="1"/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22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111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111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8D5F-FA17-42E0-94FB-49482F06C4D3}">
  <dimension ref="A1:O33"/>
  <sheetViews>
    <sheetView workbookViewId="0">
      <selection activeCell="K15" sqref="K15"/>
    </sheetView>
  </sheetViews>
  <sheetFormatPr defaultRowHeight="14.4" x14ac:dyDescent="0.3"/>
  <cols>
    <col min="1" max="1" width="8.88671875" customWidth="1"/>
    <col min="2" max="2" width="15.6640625" bestFit="1" customWidth="1"/>
    <col min="3" max="13" width="14.33203125" bestFit="1" customWidth="1"/>
    <col min="14" max="15" width="15.33203125" bestFit="1" customWidth="1"/>
  </cols>
  <sheetData>
    <row r="1" spans="1:15" ht="28.8" x14ac:dyDescent="0.3">
      <c r="A1" s="48" t="s">
        <v>323</v>
      </c>
      <c r="B1" s="49">
        <v>46023</v>
      </c>
      <c r="C1" s="49">
        <v>46054</v>
      </c>
      <c r="D1" s="49">
        <v>46082</v>
      </c>
      <c r="E1" s="49">
        <v>46113</v>
      </c>
      <c r="F1" s="49">
        <v>46143</v>
      </c>
      <c r="G1" s="49">
        <v>46174</v>
      </c>
      <c r="H1" s="49">
        <v>46204</v>
      </c>
      <c r="I1" s="49">
        <v>46235</v>
      </c>
      <c r="J1" s="49">
        <v>46266</v>
      </c>
      <c r="K1" s="49">
        <v>46296</v>
      </c>
      <c r="L1" s="49">
        <v>46327</v>
      </c>
      <c r="M1" s="49">
        <v>46357</v>
      </c>
      <c r="N1" s="48" t="s">
        <v>324</v>
      </c>
    </row>
    <row r="2" spans="1:15" x14ac:dyDescent="0.3">
      <c r="A2" s="50" t="s">
        <v>325</v>
      </c>
      <c r="B2" s="52">
        <v>948000</v>
      </c>
      <c r="C2" s="52">
        <v>1729000</v>
      </c>
      <c r="D2" s="52">
        <v>1758000</v>
      </c>
      <c r="E2" s="52">
        <v>1913000</v>
      </c>
      <c r="F2" s="52">
        <v>1232000</v>
      </c>
      <c r="G2" s="52">
        <v>1100000</v>
      </c>
      <c r="H2" s="52">
        <v>2116000</v>
      </c>
      <c r="I2" s="52">
        <v>2640000</v>
      </c>
      <c r="J2" s="52">
        <v>1942000</v>
      </c>
      <c r="K2" s="52">
        <v>2900000</v>
      </c>
      <c r="L2" s="52">
        <v>2410000</v>
      </c>
      <c r="M2" s="52">
        <v>1100000</v>
      </c>
      <c r="N2" s="52">
        <v>21788000</v>
      </c>
    </row>
    <row r="3" spans="1:15" x14ac:dyDescent="0.3">
      <c r="A3" s="50" t="s">
        <v>326</v>
      </c>
      <c r="B3" s="52">
        <v>75000</v>
      </c>
      <c r="C3" s="52">
        <v>75000</v>
      </c>
      <c r="D3" s="52">
        <v>75000</v>
      </c>
      <c r="E3" s="52">
        <v>75000</v>
      </c>
      <c r="F3" s="52">
        <v>75000</v>
      </c>
      <c r="G3" s="52">
        <v>75000</v>
      </c>
      <c r="H3" s="52">
        <v>75000</v>
      </c>
      <c r="I3" s="52">
        <v>75000</v>
      </c>
      <c r="J3" s="52">
        <v>75000</v>
      </c>
      <c r="K3" s="52">
        <v>75000</v>
      </c>
      <c r="L3" s="52">
        <v>75000</v>
      </c>
      <c r="M3" s="52">
        <v>75000</v>
      </c>
      <c r="N3" s="52">
        <v>900000</v>
      </c>
    </row>
    <row r="4" spans="1:15" x14ac:dyDescent="0.3">
      <c r="A4" s="50" t="s">
        <v>327</v>
      </c>
      <c r="B4" s="52">
        <v>236000</v>
      </c>
      <c r="C4" s="52">
        <v>319000</v>
      </c>
      <c r="D4" s="52">
        <v>324000</v>
      </c>
      <c r="E4" s="52">
        <v>336000</v>
      </c>
      <c r="F4" s="52">
        <v>233000</v>
      </c>
      <c r="G4" s="52">
        <v>248000</v>
      </c>
      <c r="H4" s="52">
        <v>377000</v>
      </c>
      <c r="I4" s="52">
        <v>387000</v>
      </c>
      <c r="J4" s="52">
        <v>315000</v>
      </c>
      <c r="K4" s="52">
        <v>350000</v>
      </c>
      <c r="L4" s="52">
        <v>392000</v>
      </c>
      <c r="M4" s="52">
        <v>253000</v>
      </c>
      <c r="N4" s="52">
        <v>3770000</v>
      </c>
    </row>
    <row r="5" spans="1:15" ht="28.8" x14ac:dyDescent="0.3">
      <c r="A5" s="51" t="s">
        <v>328</v>
      </c>
      <c r="B5" s="52">
        <v>1259000</v>
      </c>
      <c r="C5" s="52">
        <v>2123000</v>
      </c>
      <c r="D5" s="52">
        <v>2157000</v>
      </c>
      <c r="E5" s="52">
        <v>2324000</v>
      </c>
      <c r="F5" s="52">
        <v>1540000</v>
      </c>
      <c r="G5" s="52">
        <v>1423000</v>
      </c>
      <c r="H5" s="52">
        <v>2568000</v>
      </c>
      <c r="I5" s="52">
        <v>3102000</v>
      </c>
      <c r="J5" s="52">
        <v>2332000</v>
      </c>
      <c r="K5" s="52">
        <v>3325000</v>
      </c>
      <c r="L5" s="52">
        <v>2877000</v>
      </c>
      <c r="M5" s="52">
        <v>1428000</v>
      </c>
      <c r="N5" s="52">
        <v>26458000</v>
      </c>
    </row>
    <row r="8" spans="1:15" x14ac:dyDescent="0.3">
      <c r="A8" s="140" t="s">
        <v>815</v>
      </c>
      <c r="B8" s="140"/>
      <c r="C8" s="140"/>
    </row>
    <row r="9" spans="1:15" ht="15" thickBot="1" x14ac:dyDescent="0.35">
      <c r="N9" t="s">
        <v>811</v>
      </c>
    </row>
    <row r="10" spans="1:15" x14ac:dyDescent="0.3">
      <c r="B10" s="58">
        <v>46023</v>
      </c>
      <c r="C10" s="59">
        <v>46054</v>
      </c>
      <c r="D10" s="59">
        <v>46082</v>
      </c>
      <c r="E10" s="59">
        <v>46113</v>
      </c>
      <c r="F10" s="59">
        <v>46143</v>
      </c>
      <c r="G10" s="59">
        <v>46174</v>
      </c>
      <c r="H10" s="59">
        <v>46204</v>
      </c>
      <c r="I10" s="59">
        <v>46235</v>
      </c>
      <c r="J10" s="59">
        <v>46266</v>
      </c>
      <c r="K10" s="59">
        <v>46296</v>
      </c>
      <c r="L10" s="59">
        <v>46327</v>
      </c>
      <c r="M10" s="60">
        <v>46357</v>
      </c>
      <c r="N10" s="55" t="s">
        <v>332</v>
      </c>
      <c r="O10" s="48" t="s">
        <v>324</v>
      </c>
    </row>
    <row r="11" spans="1:15" x14ac:dyDescent="0.3">
      <c r="A11" t="s">
        <v>329</v>
      </c>
      <c r="B11" s="61">
        <v>948000</v>
      </c>
      <c r="C11" s="52">
        <v>1729000</v>
      </c>
      <c r="D11" s="52">
        <v>1758000</v>
      </c>
      <c r="E11" s="52">
        <v>1913000</v>
      </c>
      <c r="F11" s="52">
        <v>1232000</v>
      </c>
      <c r="G11" s="52">
        <v>1100000</v>
      </c>
      <c r="H11" s="52">
        <v>2116000</v>
      </c>
      <c r="I11" s="52">
        <v>2640000</v>
      </c>
      <c r="J11" s="52">
        <v>1942000</v>
      </c>
      <c r="K11" s="52">
        <v>2900000</v>
      </c>
      <c r="L11" s="52">
        <v>2410000</v>
      </c>
      <c r="M11" s="62">
        <v>1100000</v>
      </c>
      <c r="N11" s="56">
        <f>SUM(B11:E11)</f>
        <v>6348000</v>
      </c>
      <c r="O11" s="52">
        <f>SUM(C11:M11)</f>
        <v>20840000</v>
      </c>
    </row>
    <row r="12" spans="1:15" ht="15" thickBot="1" x14ac:dyDescent="0.35">
      <c r="A12" t="s">
        <v>330</v>
      </c>
      <c r="B12" s="70">
        <v>1152176.55</v>
      </c>
      <c r="C12" s="63">
        <v>1321327.8600000001</v>
      </c>
      <c r="D12" s="63">
        <v>2007808.23</v>
      </c>
      <c r="E12" s="63">
        <v>1390389.01</v>
      </c>
      <c r="F12" s="64"/>
      <c r="G12" s="64"/>
      <c r="H12" s="64"/>
      <c r="I12" s="64"/>
      <c r="J12" s="64"/>
      <c r="K12" s="64"/>
      <c r="L12" s="64"/>
      <c r="M12" s="65"/>
      <c r="N12" s="57">
        <f>SUM(B12:M12)</f>
        <v>5871701.6500000004</v>
      </c>
      <c r="O12" s="54">
        <f>SUM(B12:M12)</f>
        <v>5871701.6500000004</v>
      </c>
    </row>
    <row r="13" spans="1:15" ht="15" thickBot="1" x14ac:dyDescent="0.35"/>
    <row r="14" spans="1:15" ht="15" thickBot="1" x14ac:dyDescent="0.35">
      <c r="M14" s="66" t="s">
        <v>331</v>
      </c>
      <c r="N14" s="67">
        <f>SUM(N12-N11)</f>
        <v>-476298.34999999963</v>
      </c>
    </row>
    <row r="17" spans="1:15" x14ac:dyDescent="0.3">
      <c r="A17" t="s">
        <v>333</v>
      </c>
    </row>
    <row r="18" spans="1:15" ht="15" thickBot="1" x14ac:dyDescent="0.35">
      <c r="N18" t="s">
        <v>607</v>
      </c>
    </row>
    <row r="19" spans="1:15" x14ac:dyDescent="0.3">
      <c r="B19" s="58">
        <v>46023</v>
      </c>
      <c r="C19" s="59">
        <v>46054</v>
      </c>
      <c r="D19" s="59">
        <v>46082</v>
      </c>
      <c r="E19" s="59">
        <v>46113</v>
      </c>
      <c r="F19" s="59">
        <v>46143</v>
      </c>
      <c r="G19" s="59">
        <v>46174</v>
      </c>
      <c r="H19" s="59">
        <v>46204</v>
      </c>
      <c r="I19" s="59">
        <v>46235</v>
      </c>
      <c r="J19" s="59">
        <v>46266</v>
      </c>
      <c r="K19" s="59">
        <v>46296</v>
      </c>
      <c r="L19" s="59">
        <v>46327</v>
      </c>
      <c r="M19" s="59">
        <v>46357</v>
      </c>
      <c r="N19" s="68" t="s">
        <v>332</v>
      </c>
      <c r="O19" s="69" t="s">
        <v>324</v>
      </c>
    </row>
    <row r="20" spans="1:15" x14ac:dyDescent="0.3">
      <c r="A20" t="s">
        <v>329</v>
      </c>
      <c r="B20" s="61">
        <v>75000</v>
      </c>
      <c r="C20" s="52">
        <v>75000</v>
      </c>
      <c r="D20" s="52">
        <v>75000</v>
      </c>
      <c r="E20" s="52">
        <v>75000</v>
      </c>
      <c r="F20" s="52">
        <v>75000</v>
      </c>
      <c r="G20" s="52">
        <v>75000</v>
      </c>
      <c r="H20" s="52">
        <v>75000</v>
      </c>
      <c r="I20" s="52">
        <v>75000</v>
      </c>
      <c r="J20" s="52">
        <v>75000</v>
      </c>
      <c r="K20" s="52">
        <v>75000</v>
      </c>
      <c r="L20" s="52">
        <v>75000</v>
      </c>
      <c r="M20" s="52">
        <v>75000</v>
      </c>
      <c r="N20" s="53">
        <f>SUM(B20:E20)</f>
        <v>300000</v>
      </c>
      <c r="O20" s="62">
        <f>SUM(B20:M20)</f>
        <v>900000</v>
      </c>
    </row>
    <row r="21" spans="1:15" ht="15" thickBot="1" x14ac:dyDescent="0.35">
      <c r="A21" t="s">
        <v>330</v>
      </c>
      <c r="B21" s="115">
        <v>81621.100000000006</v>
      </c>
      <c r="C21" s="116">
        <v>76264</v>
      </c>
      <c r="D21" s="116">
        <v>80167.55</v>
      </c>
      <c r="E21" s="116">
        <v>115370.5</v>
      </c>
      <c r="F21" s="117"/>
      <c r="G21" s="117"/>
      <c r="H21" s="117"/>
      <c r="I21" s="117"/>
      <c r="J21" s="117"/>
      <c r="K21" s="117"/>
      <c r="L21" s="117"/>
      <c r="M21" s="117"/>
      <c r="N21" s="64">
        <f>SUM(B21:M21)</f>
        <v>353423.15</v>
      </c>
      <c r="O21" s="65">
        <f>SUM(B21:M21)</f>
        <v>353423.15</v>
      </c>
    </row>
    <row r="22" spans="1:15" ht="15" thickBot="1" x14ac:dyDescent="0.35"/>
    <row r="23" spans="1:15" ht="15" thickBot="1" x14ac:dyDescent="0.35">
      <c r="M23" s="66" t="s">
        <v>331</v>
      </c>
      <c r="N23" s="67">
        <f>SUM(N21-N20)</f>
        <v>53423.150000000023</v>
      </c>
    </row>
    <row r="27" spans="1:15" x14ac:dyDescent="0.3">
      <c r="A27" t="s">
        <v>334</v>
      </c>
    </row>
    <row r="28" spans="1:15" ht="15" thickBot="1" x14ac:dyDescent="0.35">
      <c r="N28" t="s">
        <v>607</v>
      </c>
    </row>
    <row r="29" spans="1:15" x14ac:dyDescent="0.3">
      <c r="B29" s="58">
        <v>46023</v>
      </c>
      <c r="C29" s="59">
        <v>46054</v>
      </c>
      <c r="D29" s="59">
        <v>46082</v>
      </c>
      <c r="E29" s="59">
        <v>46113</v>
      </c>
      <c r="F29" s="59">
        <v>46143</v>
      </c>
      <c r="G29" s="59">
        <v>46174</v>
      </c>
      <c r="H29" s="59">
        <v>46204</v>
      </c>
      <c r="I29" s="59">
        <v>46235</v>
      </c>
      <c r="J29" s="59">
        <v>46266</v>
      </c>
      <c r="K29" s="59">
        <v>46296</v>
      </c>
      <c r="L29" s="59">
        <v>46327</v>
      </c>
      <c r="M29" s="59">
        <v>46357</v>
      </c>
      <c r="N29" s="68" t="s">
        <v>332</v>
      </c>
      <c r="O29" s="69" t="s">
        <v>324</v>
      </c>
    </row>
    <row r="30" spans="1:15" x14ac:dyDescent="0.3">
      <c r="A30" t="s">
        <v>329</v>
      </c>
      <c r="B30" s="61">
        <v>236000</v>
      </c>
      <c r="C30" s="52">
        <v>319000</v>
      </c>
      <c r="D30" s="52">
        <v>324000</v>
      </c>
      <c r="E30" s="52">
        <v>336000</v>
      </c>
      <c r="F30" s="52">
        <v>233000</v>
      </c>
      <c r="G30" s="52">
        <v>248000</v>
      </c>
      <c r="H30" s="52">
        <v>377000</v>
      </c>
      <c r="I30" s="52">
        <v>387000</v>
      </c>
      <c r="J30" s="52">
        <v>315000</v>
      </c>
      <c r="K30" s="52">
        <v>350000</v>
      </c>
      <c r="L30" s="52">
        <v>392000</v>
      </c>
      <c r="M30" s="52">
        <v>253000</v>
      </c>
      <c r="N30" s="53">
        <f>SUM(B30:E30)</f>
        <v>1215000</v>
      </c>
      <c r="O30" s="62">
        <f>SUM(B30:M30)</f>
        <v>3770000</v>
      </c>
    </row>
    <row r="31" spans="1:15" ht="15" thickBot="1" x14ac:dyDescent="0.35">
      <c r="A31" t="s">
        <v>330</v>
      </c>
      <c r="B31" s="115">
        <v>348258.23</v>
      </c>
      <c r="C31" s="116">
        <v>326510.59000000003</v>
      </c>
      <c r="D31" s="116">
        <v>398365.56</v>
      </c>
      <c r="E31" s="116">
        <v>402445.2</v>
      </c>
      <c r="F31" s="64"/>
      <c r="G31" s="64"/>
      <c r="H31" s="64"/>
      <c r="I31" s="64"/>
      <c r="J31" s="64"/>
      <c r="K31" s="64"/>
      <c r="L31" s="64"/>
      <c r="M31" s="64"/>
      <c r="N31" s="64">
        <f>SUM(B31:M31)</f>
        <v>1475579.58</v>
      </c>
      <c r="O31" s="65">
        <f>SUM(B31:M31)</f>
        <v>1475579.58</v>
      </c>
    </row>
    <row r="32" spans="1:15" ht="15" thickBot="1" x14ac:dyDescent="0.35">
      <c r="B32" s="118"/>
      <c r="C32" s="118"/>
      <c r="D32" s="118"/>
      <c r="E32" s="118"/>
    </row>
    <row r="33" spans="13:14" ht="15" thickBot="1" x14ac:dyDescent="0.35">
      <c r="M33" s="66" t="s">
        <v>331</v>
      </c>
      <c r="N33" s="67">
        <f>SUM(N31-N30)</f>
        <v>260579.58000000007</v>
      </c>
    </row>
  </sheetData>
  <mergeCells count="1">
    <mergeCell ref="A8:C8"/>
  </mergeCells>
  <conditionalFormatting sqref="N14">
    <cfRule type="cellIs" dxfId="21" priority="7" operator="lessThan">
      <formula>0</formula>
    </cfRule>
    <cfRule type="cellIs" dxfId="20" priority="8" operator="greaterThan">
      <formula>0</formula>
    </cfRule>
    <cfRule type="cellIs" priority="9" operator="greaterThan">
      <formula>0</formula>
    </cfRule>
  </conditionalFormatting>
  <conditionalFormatting sqref="N23">
    <cfRule type="cellIs" dxfId="19" priority="4" operator="lessThan">
      <formula>0</formula>
    </cfRule>
    <cfRule type="cellIs" dxfId="18" priority="5" operator="greaterThan">
      <formula>0</formula>
    </cfRule>
    <cfRule type="cellIs" priority="6" operator="greaterThan">
      <formula>0</formula>
    </cfRule>
  </conditionalFormatting>
  <conditionalFormatting sqref="N33">
    <cfRule type="cellIs" dxfId="17" priority="1" operator="lessThan">
      <formula>0</formula>
    </cfRule>
    <cfRule type="cellIs" dxfId="16" priority="2" operator="greaterThan">
      <formula>0</formula>
    </cfRule>
    <cfRule type="cellIs" priority="3" operator="greater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O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AA63-0C83-4475-B94B-DCC162F8D025}">
  <dimension ref="A1:P275"/>
  <sheetViews>
    <sheetView tabSelected="1" topLeftCell="B1" zoomScaleNormal="100" workbookViewId="0">
      <pane ySplit="1" topLeftCell="A191" activePane="bottomLeft" state="frozen"/>
      <selection activeCell="B1" sqref="B1"/>
      <selection pane="bottomLeft" activeCell="F211" sqref="F211"/>
    </sheetView>
  </sheetViews>
  <sheetFormatPr defaultColWidth="9" defaultRowHeight="14.4" x14ac:dyDescent="0.3"/>
  <cols>
    <col min="1" max="1" width="18" style="21" bestFit="1" customWidth="1"/>
    <col min="2" max="2" width="31.44140625" style="21" customWidth="1"/>
    <col min="3" max="3" width="15.6640625" style="95" customWidth="1"/>
    <col min="4" max="4" width="19.33203125" customWidth="1"/>
    <col min="5" max="5" width="16.109375" style="22" customWidth="1"/>
    <col min="6" max="6" width="53.6640625" customWidth="1"/>
    <col min="7" max="7" width="21.6640625" customWidth="1"/>
    <col min="8" max="8" width="15.6640625" bestFit="1" customWidth="1"/>
    <col min="9" max="9" width="16.5546875" customWidth="1"/>
    <col min="10" max="10" width="15.88671875" bestFit="1" customWidth="1"/>
    <col min="11" max="11" width="17.88671875" customWidth="1"/>
    <col min="12" max="12" width="20" customWidth="1"/>
    <col min="13" max="13" width="20.5546875" customWidth="1"/>
    <col min="14" max="14" width="20.6640625" customWidth="1"/>
    <col min="15" max="15" width="21.33203125" customWidth="1"/>
    <col min="16" max="16" width="14.5546875" customWidth="1"/>
  </cols>
  <sheetData>
    <row r="1" spans="1:16" ht="15" thickBot="1" x14ac:dyDescent="0.35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5">
        <f>SUM(C2:C272)</f>
        <v>1151105.1490000002</v>
      </c>
      <c r="J1" s="75" t="s">
        <v>8</v>
      </c>
      <c r="K1" s="75" t="s">
        <v>724</v>
      </c>
      <c r="L1" s="121"/>
    </row>
    <row r="2" spans="1:16" ht="15" thickBot="1" x14ac:dyDescent="0.35">
      <c r="A2" s="104">
        <v>16686</v>
      </c>
      <c r="B2" s="96" t="s">
        <v>816</v>
      </c>
      <c r="C2" s="99">
        <v>573.69000000000005</v>
      </c>
      <c r="D2" s="4" t="s">
        <v>25</v>
      </c>
      <c r="E2" s="6">
        <v>46146</v>
      </c>
      <c r="F2" s="7"/>
      <c r="G2" s="80" t="s">
        <v>865</v>
      </c>
      <c r="H2" s="85">
        <v>1232000</v>
      </c>
      <c r="I2" s="111">
        <v>1750000</v>
      </c>
      <c r="J2" s="134">
        <f>SUM(H1/H2)</f>
        <v>0.93433859496753269</v>
      </c>
      <c r="K2" s="134">
        <f>SUM(H1/I2)</f>
        <v>0.65777437085714296</v>
      </c>
      <c r="L2" s="122"/>
    </row>
    <row r="3" spans="1:16" ht="15" thickBot="1" x14ac:dyDescent="0.35">
      <c r="A3" s="104">
        <v>16692</v>
      </c>
      <c r="B3" s="96" t="s">
        <v>671</v>
      </c>
      <c r="C3" s="99">
        <v>11.29</v>
      </c>
      <c r="D3" s="4" t="s">
        <v>25</v>
      </c>
      <c r="E3" s="6">
        <v>46146</v>
      </c>
      <c r="F3" s="7"/>
      <c r="G3" s="79" t="s">
        <v>7</v>
      </c>
      <c r="H3" s="85">
        <f>H2-H1</f>
        <v>80894.850999999791</v>
      </c>
      <c r="I3" s="84">
        <f>I2-H1</f>
        <v>598894.85099999979</v>
      </c>
    </row>
    <row r="4" spans="1:16" ht="15" thickBot="1" x14ac:dyDescent="0.35">
      <c r="A4" s="104">
        <v>16712</v>
      </c>
      <c r="B4" s="96" t="s">
        <v>817</v>
      </c>
      <c r="C4" s="99">
        <v>167</v>
      </c>
      <c r="D4" s="4" t="s">
        <v>13</v>
      </c>
      <c r="E4" s="6">
        <v>46146</v>
      </c>
      <c r="F4" s="7"/>
      <c r="G4" s="81" t="s">
        <v>14</v>
      </c>
      <c r="H4" s="37">
        <v>61600</v>
      </c>
      <c r="I4" s="37">
        <v>87500</v>
      </c>
      <c r="J4" s="81" t="s">
        <v>682</v>
      </c>
    </row>
    <row r="5" spans="1:16" ht="15" thickBot="1" x14ac:dyDescent="0.35">
      <c r="A5" s="101">
        <v>16717</v>
      </c>
      <c r="B5" s="92" t="s">
        <v>818</v>
      </c>
      <c r="C5" s="94">
        <v>5880</v>
      </c>
      <c r="D5" s="4" t="s">
        <v>16</v>
      </c>
      <c r="E5" s="6">
        <v>46146</v>
      </c>
      <c r="F5" s="12" t="s">
        <v>762</v>
      </c>
      <c r="G5" s="79" t="s">
        <v>979</v>
      </c>
      <c r="H5" s="91" cm="1">
        <f t="array" ref="H5">SUM(I9:I28/19)</f>
        <v>60326.586789473688</v>
      </c>
    </row>
    <row r="6" spans="1:16" ht="15" thickBot="1" x14ac:dyDescent="0.35">
      <c r="A6" s="101">
        <v>16714</v>
      </c>
      <c r="B6" s="92" t="s">
        <v>819</v>
      </c>
      <c r="C6" s="94">
        <v>63.58</v>
      </c>
      <c r="D6" s="4" t="s">
        <v>25</v>
      </c>
      <c r="E6" s="6">
        <v>46147</v>
      </c>
      <c r="F6" s="12"/>
      <c r="H6" s="13"/>
    </row>
    <row r="7" spans="1:16" ht="15" thickBot="1" x14ac:dyDescent="0.35">
      <c r="A7" s="101">
        <v>16715</v>
      </c>
      <c r="B7" s="92" t="s">
        <v>820</v>
      </c>
      <c r="C7" s="94">
        <v>63.58</v>
      </c>
      <c r="D7" s="4" t="s">
        <v>25</v>
      </c>
      <c r="E7" s="6">
        <v>46147</v>
      </c>
      <c r="F7" s="12"/>
      <c r="H7" s="75" t="s">
        <v>338</v>
      </c>
      <c r="M7" s="136" t="s">
        <v>8</v>
      </c>
      <c r="N7" s="137"/>
      <c r="O7" s="136" t="s">
        <v>724</v>
      </c>
      <c r="P7" s="137"/>
    </row>
    <row r="8" spans="1:16" ht="15" thickBot="1" x14ac:dyDescent="0.35">
      <c r="A8" s="101">
        <v>16716</v>
      </c>
      <c r="B8" s="92" t="s">
        <v>821</v>
      </c>
      <c r="C8" s="94">
        <v>183.37</v>
      </c>
      <c r="D8" s="4" t="s">
        <v>25</v>
      </c>
      <c r="E8" s="6">
        <v>46147</v>
      </c>
      <c r="F8" s="12"/>
      <c r="H8" s="74" t="s">
        <v>339</v>
      </c>
      <c r="I8" s="75" t="s">
        <v>340</v>
      </c>
      <c r="J8" s="81" t="s">
        <v>14</v>
      </c>
      <c r="K8" s="127" t="s">
        <v>378</v>
      </c>
      <c r="L8" s="128" t="s">
        <v>504</v>
      </c>
      <c r="M8" s="124" t="s">
        <v>924</v>
      </c>
      <c r="N8" s="125" t="s">
        <v>925</v>
      </c>
      <c r="O8" s="124" t="s">
        <v>924</v>
      </c>
      <c r="P8" s="126" t="s">
        <v>925</v>
      </c>
    </row>
    <row r="9" spans="1:16" ht="15" thickBot="1" x14ac:dyDescent="0.35">
      <c r="A9" s="101">
        <v>16726</v>
      </c>
      <c r="B9" s="92" t="s">
        <v>699</v>
      </c>
      <c r="C9" s="94">
        <v>46.55</v>
      </c>
      <c r="D9" s="4" t="s">
        <v>25</v>
      </c>
      <c r="E9" s="6">
        <v>46147</v>
      </c>
      <c r="F9" s="12"/>
      <c r="H9" s="71">
        <v>4</v>
      </c>
      <c r="I9" s="76">
        <f>SUM(C2:C5)</f>
        <v>6631.98</v>
      </c>
      <c r="J9" s="86">
        <v>87500</v>
      </c>
      <c r="K9" s="53">
        <f>SUM(I9-J9)</f>
        <v>-80868.02</v>
      </c>
      <c r="L9" s="120">
        <f>SUM(K9:K27)</f>
        <v>-516294.85099999997</v>
      </c>
      <c r="M9" s="133">
        <f>SUM(I9/H2)</f>
        <v>5.3831006493506488E-3</v>
      </c>
      <c r="N9" s="123">
        <f>SUM(H4/H2)</f>
        <v>0.05</v>
      </c>
      <c r="O9" s="133">
        <f>SUM(I9/I2)</f>
        <v>3.789702857142857E-3</v>
      </c>
      <c r="P9" s="123">
        <f>SUM(I4/I2)</f>
        <v>0.05</v>
      </c>
    </row>
    <row r="10" spans="1:16" ht="15" thickBot="1" x14ac:dyDescent="0.35">
      <c r="A10" s="104">
        <v>16733</v>
      </c>
      <c r="B10" s="96" t="s">
        <v>822</v>
      </c>
      <c r="C10" s="99">
        <v>713.44</v>
      </c>
      <c r="D10" s="4" t="s">
        <v>10</v>
      </c>
      <c r="E10" s="6">
        <v>46147</v>
      </c>
      <c r="F10" s="12"/>
      <c r="H10" s="72">
        <v>5</v>
      </c>
      <c r="I10" s="77">
        <f>SUM(C6:C13)</f>
        <v>32784.519</v>
      </c>
      <c r="J10" s="37">
        <v>87500</v>
      </c>
      <c r="K10" s="53">
        <f>SUM(I10-J10)</f>
        <v>-54715.481</v>
      </c>
      <c r="M10" s="132">
        <f>SUM(I10/H2)</f>
        <v>2.6610810876623377E-2</v>
      </c>
      <c r="N10" s="123">
        <f>SUM(H4/H2)</f>
        <v>0.05</v>
      </c>
      <c r="O10" s="132">
        <f>SUM(I10/I2)</f>
        <v>1.8734010857142856E-2</v>
      </c>
      <c r="P10" s="119">
        <f>SUM(I4/I2)</f>
        <v>0.05</v>
      </c>
    </row>
    <row r="11" spans="1:16" ht="15" thickBot="1" x14ac:dyDescent="0.35">
      <c r="A11" s="104">
        <v>16738</v>
      </c>
      <c r="B11" s="96" t="s">
        <v>823</v>
      </c>
      <c r="C11" s="99">
        <v>8776.8989999999994</v>
      </c>
      <c r="D11" s="4" t="s">
        <v>13</v>
      </c>
      <c r="E11" s="6">
        <v>46147</v>
      </c>
      <c r="F11" s="12" t="s">
        <v>824</v>
      </c>
      <c r="H11" s="72">
        <v>6</v>
      </c>
      <c r="I11" s="77">
        <f>SUM(C14:C17)</f>
        <v>22039.599999999999</v>
      </c>
      <c r="J11" s="37">
        <v>87500</v>
      </c>
      <c r="K11" s="53">
        <f>SUM(I11-J11)</f>
        <v>-65460.4</v>
      </c>
      <c r="M11" s="132">
        <f>SUM(I11/H2)</f>
        <v>1.7889285714285712E-2</v>
      </c>
      <c r="N11" s="123">
        <f>SUM(H4/H2)</f>
        <v>0.05</v>
      </c>
      <c r="O11" s="132">
        <f>SUM(I11/I2)</f>
        <v>1.2594057142857142E-2</v>
      </c>
      <c r="P11" s="119">
        <f>SUM(I4/I2)</f>
        <v>0.05</v>
      </c>
    </row>
    <row r="12" spans="1:16" ht="15" thickBot="1" x14ac:dyDescent="0.35">
      <c r="A12" s="104">
        <v>16980</v>
      </c>
      <c r="B12" s="96" t="s">
        <v>825</v>
      </c>
      <c r="C12" s="99">
        <v>12513</v>
      </c>
      <c r="D12" s="4" t="s">
        <v>16</v>
      </c>
      <c r="E12" s="6">
        <v>46147</v>
      </c>
      <c r="F12" s="12" t="s">
        <v>952</v>
      </c>
      <c r="H12" s="72">
        <v>7</v>
      </c>
      <c r="I12" s="77">
        <f>SUM(C18:C26)</f>
        <v>116762</v>
      </c>
      <c r="J12" s="37">
        <v>87500</v>
      </c>
      <c r="K12" s="53">
        <f>SUM(I12-J12)</f>
        <v>29262</v>
      </c>
      <c r="M12" s="132">
        <f>SUM(I12/H2)</f>
        <v>9.477435064935065E-2</v>
      </c>
      <c r="N12" s="123">
        <f>SUM(H4/H2)</f>
        <v>0.05</v>
      </c>
      <c r="O12" s="132">
        <f>SUM(I12/I2)</f>
        <v>6.6721142857142854E-2</v>
      </c>
      <c r="P12" s="119">
        <f>SUM(I4/I2)</f>
        <v>0.05</v>
      </c>
    </row>
    <row r="13" spans="1:16" ht="15" thickBot="1" x14ac:dyDescent="0.35">
      <c r="A13" s="104">
        <v>16746</v>
      </c>
      <c r="B13" s="96" t="s">
        <v>826</v>
      </c>
      <c r="C13" s="99">
        <v>10424.1</v>
      </c>
      <c r="D13" s="4" t="s">
        <v>10</v>
      </c>
      <c r="E13" s="6">
        <v>46147</v>
      </c>
      <c r="F13" s="12"/>
      <c r="H13" s="72">
        <v>8</v>
      </c>
      <c r="I13" s="77">
        <f>SUM(C27:C47)</f>
        <v>68697.88</v>
      </c>
      <c r="J13" s="37">
        <v>87500</v>
      </c>
      <c r="K13" s="53">
        <f t="shared" ref="K13:K28" si="0">SUM(I13-J13)</f>
        <v>-18802.119999999995</v>
      </c>
      <c r="M13" s="132">
        <f>SUM(I13/H2)</f>
        <v>5.5761266233766239E-2</v>
      </c>
      <c r="N13" s="123">
        <f>SUM(H4/H2)</f>
        <v>0.05</v>
      </c>
      <c r="O13" s="132">
        <f>SUM(I13/I2)</f>
        <v>3.9255931428571429E-2</v>
      </c>
      <c r="P13" s="119">
        <f>SUM(I4/I2)</f>
        <v>0.05</v>
      </c>
    </row>
    <row r="14" spans="1:16" ht="15" thickBot="1" x14ac:dyDescent="0.35">
      <c r="A14" s="104">
        <v>16744</v>
      </c>
      <c r="B14" s="96" t="s">
        <v>507</v>
      </c>
      <c r="C14" s="99">
        <v>182.46</v>
      </c>
      <c r="D14" s="4" t="s">
        <v>25</v>
      </c>
      <c r="E14" s="6">
        <v>46148</v>
      </c>
      <c r="F14" s="12"/>
      <c r="H14" s="72">
        <v>11</v>
      </c>
      <c r="I14" s="77">
        <f>SUM(C48:C66)</f>
        <v>85332.85</v>
      </c>
      <c r="J14" s="37">
        <v>87500</v>
      </c>
      <c r="K14" s="53">
        <f t="shared" si="0"/>
        <v>-2167.1499999999942</v>
      </c>
      <c r="M14" s="132">
        <f>SUM(I14/H2)</f>
        <v>6.9263676948051953E-2</v>
      </c>
      <c r="N14" s="123">
        <f>SUM(H4/H2)</f>
        <v>0.05</v>
      </c>
      <c r="O14" s="132">
        <f>SUM(I14/I2)</f>
        <v>4.8761628571428572E-2</v>
      </c>
      <c r="P14" s="119">
        <f>SUM(I4/I2)</f>
        <v>0.05</v>
      </c>
    </row>
    <row r="15" spans="1:16" ht="15" thickBot="1" x14ac:dyDescent="0.35">
      <c r="A15" s="104">
        <v>16745</v>
      </c>
      <c r="B15" s="96" t="s">
        <v>827</v>
      </c>
      <c r="C15" s="99">
        <v>192.59</v>
      </c>
      <c r="D15" s="4" t="s">
        <v>25</v>
      </c>
      <c r="E15" s="6">
        <v>46148</v>
      </c>
      <c r="F15" s="12"/>
      <c r="H15" s="72">
        <v>12</v>
      </c>
      <c r="I15" s="77">
        <f>SUM(C67:C79)</f>
        <v>65662.540000000008</v>
      </c>
      <c r="J15" s="37">
        <v>87500</v>
      </c>
      <c r="K15" s="53">
        <f t="shared" si="0"/>
        <v>-21837.459999999992</v>
      </c>
      <c r="M15" s="132">
        <f>SUM(I15/H2)</f>
        <v>5.3297516233766239E-2</v>
      </c>
      <c r="N15" s="123">
        <f>SUM(H4/H2)</f>
        <v>0.05</v>
      </c>
      <c r="O15" s="132">
        <f>SUM(I15/I2)</f>
        <v>3.7521451428571433E-2</v>
      </c>
      <c r="P15" s="119">
        <f>SUM(I4/I2)</f>
        <v>0.05</v>
      </c>
    </row>
    <row r="16" spans="1:16" ht="15" thickBot="1" x14ac:dyDescent="0.35">
      <c r="A16" s="104">
        <v>16748</v>
      </c>
      <c r="B16" s="96" t="s">
        <v>828</v>
      </c>
      <c r="C16" s="99">
        <v>200</v>
      </c>
      <c r="D16" s="4" t="s">
        <v>16</v>
      </c>
      <c r="E16" s="6">
        <v>46148</v>
      </c>
      <c r="F16" s="12" t="s">
        <v>829</v>
      </c>
      <c r="H16" s="72">
        <v>13</v>
      </c>
      <c r="I16" s="77">
        <f>SUM(C80:C89)</f>
        <v>63654.27</v>
      </c>
      <c r="J16" s="37">
        <v>87500</v>
      </c>
      <c r="K16" s="53">
        <f t="shared" si="0"/>
        <v>-23845.730000000003</v>
      </c>
      <c r="M16" s="132">
        <f>SUM(I16/H2)</f>
        <v>5.1667426948051945E-2</v>
      </c>
      <c r="N16" s="123">
        <f>SUM(H4/H2)</f>
        <v>0.05</v>
      </c>
      <c r="O16" s="132">
        <f>SUM(I16/I2)</f>
        <v>3.6373868571428568E-2</v>
      </c>
      <c r="P16" s="119">
        <f>SUM(I4/I2)</f>
        <v>0.05</v>
      </c>
    </row>
    <row r="17" spans="1:16" ht="15" thickBot="1" x14ac:dyDescent="0.35">
      <c r="A17" s="104">
        <v>16758</v>
      </c>
      <c r="B17" s="96" t="s">
        <v>830</v>
      </c>
      <c r="C17" s="99">
        <v>21464.55</v>
      </c>
      <c r="D17" s="4" t="s">
        <v>16</v>
      </c>
      <c r="E17" s="6">
        <v>46148</v>
      </c>
      <c r="F17" s="12" t="s">
        <v>831</v>
      </c>
      <c r="H17" s="72">
        <v>14</v>
      </c>
      <c r="I17" s="77">
        <f>SUM(C90:C96)</f>
        <v>38562.050000000003</v>
      </c>
      <c r="J17" s="37">
        <v>87500</v>
      </c>
      <c r="K17" s="53">
        <f t="shared" si="0"/>
        <v>-48937.95</v>
      </c>
      <c r="M17" s="132">
        <f>SUM(I17/H2)</f>
        <v>3.1300365259740261E-2</v>
      </c>
      <c r="N17" s="123">
        <f>SUM(H4/H2)</f>
        <v>0.05</v>
      </c>
      <c r="O17" s="132">
        <f>SUM(I17/I2)</f>
        <v>2.2035457142857144E-2</v>
      </c>
      <c r="P17" s="119">
        <f>SUM(I4/I2)</f>
        <v>0.05</v>
      </c>
    </row>
    <row r="18" spans="1:16" ht="15" thickBot="1" x14ac:dyDescent="0.35">
      <c r="A18" s="104">
        <v>16762</v>
      </c>
      <c r="B18" s="96" t="s">
        <v>832</v>
      </c>
      <c r="C18" s="99">
        <v>6165.65</v>
      </c>
      <c r="D18" s="4" t="s">
        <v>10</v>
      </c>
      <c r="E18" s="6">
        <v>46149</v>
      </c>
      <c r="F18" s="12" t="s">
        <v>858</v>
      </c>
      <c r="H18" s="72">
        <v>15</v>
      </c>
      <c r="I18" s="77">
        <f>SUM(C97:C109)</f>
        <v>154224.87</v>
      </c>
      <c r="J18" s="37">
        <v>87500</v>
      </c>
      <c r="K18" s="53">
        <f t="shared" si="0"/>
        <v>66724.87</v>
      </c>
      <c r="M18" s="132">
        <f>SUM(I18/H2)</f>
        <v>0.12518252435064936</v>
      </c>
      <c r="N18" s="123">
        <f>SUM(H4/H2)</f>
        <v>0.05</v>
      </c>
      <c r="O18" s="132">
        <f>SUM(I18/I2)</f>
        <v>8.8128497142857143E-2</v>
      </c>
      <c r="P18" s="119">
        <f>SUM(I4/I2)</f>
        <v>0.05</v>
      </c>
    </row>
    <row r="19" spans="1:16" ht="15" thickBot="1" x14ac:dyDescent="0.35">
      <c r="A19" s="101">
        <v>16734</v>
      </c>
      <c r="B19" s="92" t="s">
        <v>833</v>
      </c>
      <c r="C19" s="94">
        <v>41885.1</v>
      </c>
      <c r="D19" s="4" t="s">
        <v>13</v>
      </c>
      <c r="E19" s="6">
        <v>46149</v>
      </c>
      <c r="F19" s="12" t="s">
        <v>834</v>
      </c>
      <c r="H19" s="72">
        <v>18</v>
      </c>
      <c r="I19" s="77">
        <f>SUM(C110:C127)</f>
        <v>112930.11</v>
      </c>
      <c r="J19" s="37">
        <v>87500</v>
      </c>
      <c r="K19" s="53">
        <f t="shared" si="0"/>
        <v>25430.11</v>
      </c>
      <c r="M19" s="132">
        <f>SUM(I19/H2)</f>
        <v>9.1664050324675325E-2</v>
      </c>
      <c r="N19" s="123">
        <f>SUM(H4/H2)</f>
        <v>0.05</v>
      </c>
      <c r="O19" s="132">
        <f>SUM(I19/I2)</f>
        <v>6.4531491428571425E-2</v>
      </c>
      <c r="P19" s="119">
        <f>SUM(I4/I2)</f>
        <v>0.05</v>
      </c>
    </row>
    <row r="20" spans="1:16" ht="15" thickBot="1" x14ac:dyDescent="0.35">
      <c r="A20" s="101">
        <v>16749</v>
      </c>
      <c r="B20" s="92" t="s">
        <v>835</v>
      </c>
      <c r="C20" s="94">
        <v>63.58</v>
      </c>
      <c r="D20" s="4" t="s">
        <v>25</v>
      </c>
      <c r="E20" s="6">
        <v>46149</v>
      </c>
      <c r="F20" s="12"/>
      <c r="H20" s="72">
        <v>19</v>
      </c>
      <c r="I20" s="77">
        <f>SUM(C128:C138)</f>
        <v>31035</v>
      </c>
      <c r="J20" s="37">
        <v>87500</v>
      </c>
      <c r="K20" s="53">
        <f t="shared" si="0"/>
        <v>-56465</v>
      </c>
      <c r="M20" s="132">
        <f>SUM(I20/H2)</f>
        <v>2.5190746753246753E-2</v>
      </c>
      <c r="N20" s="123">
        <f>SUM(H4/H2)</f>
        <v>0.05</v>
      </c>
      <c r="O20" s="132">
        <f>SUM(I20/I2)</f>
        <v>1.7734285714285713E-2</v>
      </c>
      <c r="P20" s="119">
        <f>SUM(I4/I2)</f>
        <v>0.05</v>
      </c>
    </row>
    <row r="21" spans="1:16" ht="15" thickBot="1" x14ac:dyDescent="0.35">
      <c r="A21" s="101">
        <v>16750</v>
      </c>
      <c r="B21" s="92" t="s">
        <v>836</v>
      </c>
      <c r="C21" s="94">
        <v>190.74</v>
      </c>
      <c r="D21" s="4" t="s">
        <v>25</v>
      </c>
      <c r="E21" s="6">
        <v>46149</v>
      </c>
      <c r="F21" s="12"/>
      <c r="H21" s="72">
        <v>20</v>
      </c>
      <c r="I21" s="77">
        <f>SUM(C139:C146)</f>
        <v>42273.32</v>
      </c>
      <c r="J21" s="37">
        <v>87500</v>
      </c>
      <c r="K21" s="53">
        <f t="shared" si="0"/>
        <v>-45226.68</v>
      </c>
      <c r="M21" s="119">
        <f>SUM(I21/H2)</f>
        <v>3.4312759740259741E-2</v>
      </c>
      <c r="N21" s="123">
        <f>SUM(H4/H2)</f>
        <v>0.05</v>
      </c>
      <c r="O21" s="132">
        <f>SUM(I21/I2)</f>
        <v>2.4156182857142858E-2</v>
      </c>
      <c r="P21" s="119">
        <f>SUM(I4/I2)</f>
        <v>0.05</v>
      </c>
    </row>
    <row r="22" spans="1:16" ht="15" thickBot="1" x14ac:dyDescent="0.35">
      <c r="A22" s="101">
        <v>16752</v>
      </c>
      <c r="B22" s="92" t="s">
        <v>837</v>
      </c>
      <c r="C22" s="94">
        <v>12892.85</v>
      </c>
      <c r="D22" s="4" t="s">
        <v>25</v>
      </c>
      <c r="E22" s="6">
        <v>46149</v>
      </c>
      <c r="F22" s="12"/>
      <c r="H22" s="72">
        <v>21</v>
      </c>
      <c r="I22" s="77">
        <f>SUM(C147:C160)</f>
        <v>122543.64</v>
      </c>
      <c r="J22" s="37">
        <v>87500</v>
      </c>
      <c r="K22" s="53">
        <f t="shared" si="0"/>
        <v>35043.64</v>
      </c>
      <c r="M22" s="119">
        <f>SUM(I22/H2)</f>
        <v>9.9467240259740256E-2</v>
      </c>
      <c r="N22" s="123">
        <f>SUM(H4/H2)</f>
        <v>0.05</v>
      </c>
      <c r="O22" s="132">
        <f>SUM(I22/I2)</f>
        <v>7.0024937142857138E-2</v>
      </c>
      <c r="P22" s="119">
        <f>SUM(I4/I2)</f>
        <v>0.05</v>
      </c>
    </row>
    <row r="23" spans="1:16" ht="15" thickBot="1" x14ac:dyDescent="0.35">
      <c r="A23" s="101">
        <v>16753</v>
      </c>
      <c r="B23" s="92" t="s">
        <v>507</v>
      </c>
      <c r="C23" s="94">
        <v>940.5</v>
      </c>
      <c r="D23" s="4" t="s">
        <v>25</v>
      </c>
      <c r="E23" s="6">
        <v>46149</v>
      </c>
      <c r="F23" s="12"/>
      <c r="H23" s="72">
        <v>22</v>
      </c>
      <c r="I23" s="77">
        <f>SUM(C161:C171)</f>
        <v>30779.22</v>
      </c>
      <c r="J23" s="37">
        <v>87500</v>
      </c>
      <c r="K23" s="53">
        <f t="shared" si="0"/>
        <v>-56720.78</v>
      </c>
      <c r="M23" s="119">
        <f>SUM(I23/H2)</f>
        <v>2.4983133116883119E-2</v>
      </c>
      <c r="N23" s="123">
        <f>SUM(H4/H2)</f>
        <v>0.05</v>
      </c>
      <c r="O23" s="132">
        <f>SUM(I23/I2)</f>
        <v>1.7588125714285714E-2</v>
      </c>
      <c r="P23" s="119">
        <f>SUM(I4/I2)</f>
        <v>0.05</v>
      </c>
    </row>
    <row r="24" spans="1:16" ht="15" thickBot="1" x14ac:dyDescent="0.35">
      <c r="A24" s="101">
        <v>16754</v>
      </c>
      <c r="B24" s="92" t="s">
        <v>820</v>
      </c>
      <c r="C24" s="94">
        <v>63.58</v>
      </c>
      <c r="D24" s="4" t="s">
        <v>25</v>
      </c>
      <c r="E24" s="6">
        <v>46149</v>
      </c>
      <c r="F24" s="12"/>
      <c r="H24" s="72">
        <v>25</v>
      </c>
      <c r="I24" s="77">
        <f>SUM(C173:C180)</f>
        <v>10684.51</v>
      </c>
      <c r="J24" s="37">
        <v>87500</v>
      </c>
      <c r="K24" s="53">
        <f t="shared" si="0"/>
        <v>-76815.490000000005</v>
      </c>
      <c r="M24" s="119">
        <f>SUM(I24/H2)</f>
        <v>8.6724918831168826E-3</v>
      </c>
      <c r="N24" s="123">
        <f>SUM(H4/H2)</f>
        <v>0.05</v>
      </c>
      <c r="O24" s="132">
        <f>SUM(I24/I2)</f>
        <v>6.1054342857142854E-3</v>
      </c>
      <c r="P24" s="119">
        <f>SUM(I4/I2)</f>
        <v>0.05</v>
      </c>
    </row>
    <row r="25" spans="1:16" ht="15" thickBot="1" x14ac:dyDescent="0.35">
      <c r="A25" s="101">
        <v>16790</v>
      </c>
      <c r="B25" s="92" t="s">
        <v>838</v>
      </c>
      <c r="C25" s="94">
        <v>44560</v>
      </c>
      <c r="D25" s="4" t="s">
        <v>16</v>
      </c>
      <c r="E25" s="6">
        <v>46149</v>
      </c>
      <c r="F25" s="12"/>
      <c r="H25" s="72">
        <v>26</v>
      </c>
      <c r="I25" s="77">
        <f>SUM(C181:C198)</f>
        <v>96856.68</v>
      </c>
      <c r="J25" s="37">
        <v>87500</v>
      </c>
      <c r="K25" s="53">
        <f t="shared" si="0"/>
        <v>9356.679999999993</v>
      </c>
      <c r="M25" s="119">
        <f>SUM(I25/H2)</f>
        <v>7.8617435064935057E-2</v>
      </c>
      <c r="N25" s="123">
        <f>SUM(H4/H2)</f>
        <v>0.05</v>
      </c>
      <c r="O25" s="132">
        <f>SUM(I25/I2)</f>
        <v>5.5346674285714284E-2</v>
      </c>
      <c r="P25" s="119">
        <f>SUM(I4/I2)</f>
        <v>0.05</v>
      </c>
    </row>
    <row r="26" spans="1:16" ht="15" thickBot="1" x14ac:dyDescent="0.35">
      <c r="A26" s="101">
        <v>16794</v>
      </c>
      <c r="B26" s="92" t="s">
        <v>839</v>
      </c>
      <c r="C26" s="94">
        <v>10000</v>
      </c>
      <c r="D26" s="4" t="s">
        <v>16</v>
      </c>
      <c r="E26" s="6">
        <v>46149</v>
      </c>
      <c r="F26" s="12"/>
      <c r="H26" s="72">
        <v>27</v>
      </c>
      <c r="I26" s="77">
        <f>SUM(C199:C207)</f>
        <v>22494.620000000003</v>
      </c>
      <c r="J26" s="37">
        <v>87500</v>
      </c>
      <c r="K26" s="53">
        <f t="shared" si="0"/>
        <v>-65005.38</v>
      </c>
      <c r="M26" s="119">
        <f>SUM(I26/H2)</f>
        <v>1.8258620129870132E-2</v>
      </c>
      <c r="N26" s="123">
        <f>SUM(H4/H2)</f>
        <v>0.05</v>
      </c>
      <c r="O26" s="132">
        <f>SUM(I26/I2)</f>
        <v>1.2854068571428573E-2</v>
      </c>
      <c r="P26" s="119">
        <f>SUM(I4/I2)</f>
        <v>0.05</v>
      </c>
    </row>
    <row r="27" spans="1:16" ht="15" thickBot="1" x14ac:dyDescent="0.35">
      <c r="A27" s="101">
        <v>16803</v>
      </c>
      <c r="B27" s="92" t="s">
        <v>841</v>
      </c>
      <c r="C27" s="94">
        <v>198</v>
      </c>
      <c r="D27" s="4" t="s">
        <v>13</v>
      </c>
      <c r="E27" s="6">
        <v>46150</v>
      </c>
      <c r="F27" s="12"/>
      <c r="H27" s="72">
        <v>28</v>
      </c>
      <c r="I27" s="77">
        <f>SUM(C208:C222)</f>
        <v>22255.489999999998</v>
      </c>
      <c r="J27" s="37">
        <v>87500</v>
      </c>
      <c r="K27" s="53">
        <f t="shared" si="0"/>
        <v>-65244.51</v>
      </c>
      <c r="M27" s="119">
        <f>SUM(I27/H10)</f>
        <v>4451.098</v>
      </c>
      <c r="N27" s="123">
        <f>SUM(H4/H2)</f>
        <v>0.05</v>
      </c>
      <c r="O27" s="132">
        <f>SUM(I27/I2)</f>
        <v>1.2717422857142856E-2</v>
      </c>
      <c r="P27" s="119">
        <f>SUM(I4/I2)</f>
        <v>0.05</v>
      </c>
    </row>
    <row r="28" spans="1:16" ht="15" thickBot="1" x14ac:dyDescent="0.35">
      <c r="A28" s="101">
        <v>16811</v>
      </c>
      <c r="B28" s="92" t="s">
        <v>840</v>
      </c>
      <c r="C28" s="94">
        <v>17184</v>
      </c>
      <c r="D28" s="4" t="s">
        <v>16</v>
      </c>
      <c r="E28" s="6">
        <v>46150</v>
      </c>
      <c r="F28" s="12"/>
      <c r="H28" s="72">
        <v>29</v>
      </c>
      <c r="I28" s="77"/>
      <c r="J28" s="37">
        <v>87500</v>
      </c>
      <c r="K28" s="53">
        <f t="shared" si="0"/>
        <v>-87500</v>
      </c>
      <c r="M28" s="119">
        <f>SUM(I28/H10)</f>
        <v>0</v>
      </c>
      <c r="N28" s="130">
        <f>SUM(H4/H2)</f>
        <v>0.05</v>
      </c>
      <c r="O28" s="135">
        <f>SUM(I28/I2)</f>
        <v>0</v>
      </c>
      <c r="P28" s="129">
        <f>SUM(I4/I2)</f>
        <v>0.05</v>
      </c>
    </row>
    <row r="29" spans="1:16" ht="15" thickBot="1" x14ac:dyDescent="0.35">
      <c r="A29" s="101">
        <v>16780</v>
      </c>
      <c r="B29" s="92" t="s">
        <v>548</v>
      </c>
      <c r="C29" s="94">
        <v>63.58</v>
      </c>
      <c r="D29" s="4" t="s">
        <v>25</v>
      </c>
      <c r="E29" s="6">
        <v>46150</v>
      </c>
      <c r="F29" s="12"/>
      <c r="L29" s="131" t="s">
        <v>6</v>
      </c>
      <c r="M29" s="134">
        <f>SUM(M9:M28)</f>
        <v>4452.0102968011361</v>
      </c>
      <c r="N29" s="112">
        <f>SUM(N9:N28)</f>
        <v>1.0000000000000002</v>
      </c>
      <c r="O29" s="134">
        <f>SUM(O9:O28)</f>
        <v>0.65497437085714283</v>
      </c>
      <c r="P29" s="112">
        <f>SUM(P9:P28)</f>
        <v>1.0000000000000002</v>
      </c>
    </row>
    <row r="30" spans="1:16" x14ac:dyDescent="0.3">
      <c r="A30" s="101">
        <v>16781</v>
      </c>
      <c r="B30" s="92" t="s">
        <v>842</v>
      </c>
      <c r="C30" s="94">
        <v>22.58</v>
      </c>
      <c r="D30" s="4" t="s">
        <v>25</v>
      </c>
      <c r="E30" s="6">
        <v>46150</v>
      </c>
      <c r="F30" s="12"/>
    </row>
    <row r="31" spans="1:16" x14ac:dyDescent="0.3">
      <c r="A31" s="101">
        <v>16782</v>
      </c>
      <c r="B31" s="92" t="s">
        <v>843</v>
      </c>
      <c r="C31" s="94">
        <v>63.58</v>
      </c>
      <c r="D31" s="4" t="s">
        <v>25</v>
      </c>
      <c r="E31" s="6">
        <v>46150</v>
      </c>
      <c r="F31" s="12"/>
    </row>
    <row r="32" spans="1:16" x14ac:dyDescent="0.3">
      <c r="A32" s="101">
        <v>16786</v>
      </c>
      <c r="B32" s="92" t="s">
        <v>844</v>
      </c>
      <c r="C32" s="94">
        <v>63.58</v>
      </c>
      <c r="D32" s="4" t="s">
        <v>25</v>
      </c>
      <c r="E32" s="6">
        <v>46150</v>
      </c>
      <c r="F32" s="12"/>
    </row>
    <row r="33" spans="1:6" x14ac:dyDescent="0.3">
      <c r="A33" s="101">
        <v>16787</v>
      </c>
      <c r="B33" s="92" t="s">
        <v>845</v>
      </c>
      <c r="C33" s="94">
        <v>746.87</v>
      </c>
      <c r="D33" s="4" t="s">
        <v>25</v>
      </c>
      <c r="E33" s="6">
        <v>46150</v>
      </c>
      <c r="F33" s="12"/>
    </row>
    <row r="34" spans="1:6" x14ac:dyDescent="0.3">
      <c r="A34" s="101">
        <v>16788</v>
      </c>
      <c r="B34" s="92" t="s">
        <v>845</v>
      </c>
      <c r="C34" s="94">
        <v>1088.27</v>
      </c>
      <c r="D34" s="4" t="s">
        <v>25</v>
      </c>
      <c r="E34" s="6">
        <v>46150</v>
      </c>
      <c r="F34" s="12"/>
    </row>
    <row r="35" spans="1:6" x14ac:dyDescent="0.3">
      <c r="A35" s="101">
        <v>16791</v>
      </c>
      <c r="B35" s="92" t="s">
        <v>846</v>
      </c>
      <c r="C35" s="94">
        <v>89.1</v>
      </c>
      <c r="D35" s="4" t="s">
        <v>25</v>
      </c>
      <c r="E35" s="6">
        <v>46150</v>
      </c>
      <c r="F35" s="12"/>
    </row>
    <row r="36" spans="1:6" x14ac:dyDescent="0.3">
      <c r="A36" s="101">
        <v>16792</v>
      </c>
      <c r="B36" s="92" t="s">
        <v>847</v>
      </c>
      <c r="C36" s="94">
        <v>127.16</v>
      </c>
      <c r="D36" s="4" t="s">
        <v>25</v>
      </c>
      <c r="E36" s="6">
        <v>46150</v>
      </c>
      <c r="F36" s="12"/>
    </row>
    <row r="37" spans="1:6" x14ac:dyDescent="0.3">
      <c r="A37" s="101">
        <v>16793</v>
      </c>
      <c r="B37" s="92" t="s">
        <v>848</v>
      </c>
      <c r="C37" s="94">
        <v>192.59</v>
      </c>
      <c r="D37" s="4" t="s">
        <v>25</v>
      </c>
      <c r="E37" s="6">
        <v>46150</v>
      </c>
      <c r="F37" s="12"/>
    </row>
    <row r="38" spans="1:6" x14ac:dyDescent="0.3">
      <c r="A38" s="101">
        <v>16795</v>
      </c>
      <c r="B38" s="92" t="s">
        <v>508</v>
      </c>
      <c r="C38" s="94">
        <v>557.51</v>
      </c>
      <c r="D38" s="4" t="s">
        <v>25</v>
      </c>
      <c r="E38" s="6">
        <v>46150</v>
      </c>
      <c r="F38" s="12"/>
    </row>
    <row r="39" spans="1:6" x14ac:dyDescent="0.3">
      <c r="A39" s="101">
        <v>16797</v>
      </c>
      <c r="B39" s="92" t="s">
        <v>533</v>
      </c>
      <c r="C39" s="94">
        <v>127.16</v>
      </c>
      <c r="D39" s="4" t="s">
        <v>25</v>
      </c>
      <c r="E39" s="6">
        <v>46150</v>
      </c>
      <c r="F39" s="12"/>
    </row>
    <row r="40" spans="1:6" x14ac:dyDescent="0.3">
      <c r="A40" s="101">
        <v>16799</v>
      </c>
      <c r="B40" s="92" t="s">
        <v>849</v>
      </c>
      <c r="C40" s="94">
        <v>127.16</v>
      </c>
      <c r="D40" s="4" t="s">
        <v>25</v>
      </c>
      <c r="E40" s="6">
        <v>46150</v>
      </c>
      <c r="F40" s="12"/>
    </row>
    <row r="41" spans="1:6" x14ac:dyDescent="0.3">
      <c r="A41" s="101">
        <v>16800</v>
      </c>
      <c r="B41" s="92" t="s">
        <v>850</v>
      </c>
      <c r="C41" s="94">
        <v>11.29</v>
      </c>
      <c r="D41" s="4" t="s">
        <v>25</v>
      </c>
      <c r="E41" s="6">
        <v>46150</v>
      </c>
      <c r="F41" s="12"/>
    </row>
    <row r="42" spans="1:6" x14ac:dyDescent="0.3">
      <c r="A42" s="101">
        <v>16801</v>
      </c>
      <c r="B42" s="92" t="s">
        <v>851</v>
      </c>
      <c r="C42" s="94">
        <v>11.29</v>
      </c>
      <c r="D42" s="4" t="s">
        <v>25</v>
      </c>
      <c r="E42" s="6">
        <v>46150</v>
      </c>
      <c r="F42" s="12"/>
    </row>
    <row r="43" spans="1:6" x14ac:dyDescent="0.3">
      <c r="A43" s="101">
        <v>16810</v>
      </c>
      <c r="B43" s="92" t="s">
        <v>852</v>
      </c>
      <c r="C43" s="94">
        <v>44.16</v>
      </c>
      <c r="D43" s="4" t="s">
        <v>25</v>
      </c>
      <c r="E43" s="6">
        <v>46150</v>
      </c>
      <c r="F43" s="12"/>
    </row>
    <row r="44" spans="1:6" x14ac:dyDescent="0.3">
      <c r="A44" s="101">
        <v>16827</v>
      </c>
      <c r="B44" s="92" t="s">
        <v>853</v>
      </c>
      <c r="C44" s="94">
        <v>18100</v>
      </c>
      <c r="D44" s="4" t="s">
        <v>13</v>
      </c>
      <c r="E44" s="6">
        <v>46150</v>
      </c>
      <c r="F44" s="12" t="s">
        <v>854</v>
      </c>
    </row>
    <row r="45" spans="1:6" x14ac:dyDescent="0.3">
      <c r="A45" s="101">
        <v>16820</v>
      </c>
      <c r="B45" s="92" t="s">
        <v>855</v>
      </c>
      <c r="C45" s="94">
        <v>13520</v>
      </c>
      <c r="D45" s="4" t="s">
        <v>10</v>
      </c>
      <c r="E45" s="6">
        <v>46150</v>
      </c>
      <c r="F45" s="12"/>
    </row>
    <row r="46" spans="1:6" x14ac:dyDescent="0.3">
      <c r="A46" s="101">
        <v>16825</v>
      </c>
      <c r="B46" s="94" t="s">
        <v>856</v>
      </c>
      <c r="C46" s="94">
        <v>305</v>
      </c>
      <c r="D46" s="9" t="s">
        <v>16</v>
      </c>
      <c r="E46" s="6">
        <v>46150</v>
      </c>
      <c r="F46" s="12"/>
    </row>
    <row r="47" spans="1:6" x14ac:dyDescent="0.3">
      <c r="A47" s="101">
        <v>16835</v>
      </c>
      <c r="B47" s="92" t="s">
        <v>857</v>
      </c>
      <c r="C47" s="94">
        <v>16055</v>
      </c>
      <c r="D47" s="4" t="s">
        <v>16</v>
      </c>
      <c r="E47" s="6">
        <v>46150</v>
      </c>
      <c r="F47" s="12"/>
    </row>
    <row r="48" spans="1:6" x14ac:dyDescent="0.3">
      <c r="A48" s="101">
        <v>16838</v>
      </c>
      <c r="B48" s="92" t="s">
        <v>859</v>
      </c>
      <c r="C48" s="94">
        <v>220</v>
      </c>
      <c r="D48" s="4" t="s">
        <v>16</v>
      </c>
      <c r="E48" s="6">
        <v>46153</v>
      </c>
      <c r="F48" s="12"/>
    </row>
    <row r="49" spans="1:6" x14ac:dyDescent="0.3">
      <c r="A49" s="101">
        <v>16828</v>
      </c>
      <c r="B49" s="92" t="s">
        <v>655</v>
      </c>
      <c r="C49" s="94">
        <v>11.29</v>
      </c>
      <c r="D49" s="4" t="s">
        <v>25</v>
      </c>
      <c r="E49" s="6">
        <v>46153</v>
      </c>
      <c r="F49" s="12"/>
    </row>
    <row r="50" spans="1:6" x14ac:dyDescent="0.3">
      <c r="A50" s="101">
        <v>16829</v>
      </c>
      <c r="B50" s="92" t="s">
        <v>708</v>
      </c>
      <c r="C50" s="94">
        <v>331.55</v>
      </c>
      <c r="D50" s="4" t="s">
        <v>25</v>
      </c>
      <c r="E50" s="6">
        <v>46153</v>
      </c>
      <c r="F50" s="12"/>
    </row>
    <row r="51" spans="1:6" x14ac:dyDescent="0.3">
      <c r="A51" s="101">
        <v>16830</v>
      </c>
      <c r="B51" s="92" t="s">
        <v>860</v>
      </c>
      <c r="C51" s="94">
        <v>5436.85</v>
      </c>
      <c r="D51" s="4" t="s">
        <v>25</v>
      </c>
      <c r="E51" s="6">
        <v>46153</v>
      </c>
      <c r="F51" s="12"/>
    </row>
    <row r="52" spans="1:6" x14ac:dyDescent="0.3">
      <c r="A52" s="101">
        <v>16831</v>
      </c>
      <c r="B52" s="92" t="s">
        <v>861</v>
      </c>
      <c r="C52" s="94">
        <v>5324.75</v>
      </c>
      <c r="D52" s="4" t="s">
        <v>25</v>
      </c>
      <c r="E52" s="6">
        <v>46153</v>
      </c>
      <c r="F52" s="12"/>
    </row>
    <row r="53" spans="1:6" x14ac:dyDescent="0.3">
      <c r="A53" s="101">
        <v>16833</v>
      </c>
      <c r="B53" s="92" t="s">
        <v>508</v>
      </c>
      <c r="C53" s="94">
        <v>637.28</v>
      </c>
      <c r="D53" s="4" t="s">
        <v>25</v>
      </c>
      <c r="E53" s="6">
        <v>46153</v>
      </c>
      <c r="F53" s="12"/>
    </row>
    <row r="54" spans="1:6" x14ac:dyDescent="0.3">
      <c r="A54" s="101">
        <v>16834</v>
      </c>
      <c r="B54" s="92" t="s">
        <v>862</v>
      </c>
      <c r="C54" s="94">
        <v>127.16</v>
      </c>
      <c r="D54" s="4" t="s">
        <v>25</v>
      </c>
      <c r="E54" s="6">
        <v>46153</v>
      </c>
      <c r="F54" s="12"/>
    </row>
    <row r="55" spans="1:6" x14ac:dyDescent="0.3">
      <c r="A55" s="101">
        <v>16836</v>
      </c>
      <c r="B55" s="92" t="s">
        <v>863</v>
      </c>
      <c r="C55" s="94">
        <v>94.05</v>
      </c>
      <c r="D55" s="4" t="s">
        <v>25</v>
      </c>
      <c r="E55" s="6">
        <v>46153</v>
      </c>
      <c r="F55" s="12"/>
    </row>
    <row r="56" spans="1:6" x14ac:dyDescent="0.3">
      <c r="A56" s="101">
        <v>16837</v>
      </c>
      <c r="B56" s="92" t="s">
        <v>864</v>
      </c>
      <c r="C56" s="94">
        <v>63.58</v>
      </c>
      <c r="D56" s="4" t="s">
        <v>25</v>
      </c>
      <c r="E56" s="6">
        <v>46153</v>
      </c>
      <c r="F56" s="12"/>
    </row>
    <row r="57" spans="1:6" x14ac:dyDescent="0.3">
      <c r="A57" s="101">
        <v>16839</v>
      </c>
      <c r="B57" s="92" t="s">
        <v>588</v>
      </c>
      <c r="C57" s="94">
        <v>11.29</v>
      </c>
      <c r="D57" s="4" t="s">
        <v>25</v>
      </c>
      <c r="E57" s="6">
        <v>46153</v>
      </c>
      <c r="F57" s="12"/>
    </row>
    <row r="58" spans="1:6" x14ac:dyDescent="0.3">
      <c r="A58" s="101">
        <v>16840</v>
      </c>
      <c r="B58" s="92" t="s">
        <v>316</v>
      </c>
      <c r="C58" s="94">
        <v>990</v>
      </c>
      <c r="D58" s="4" t="s">
        <v>25</v>
      </c>
      <c r="E58" s="6">
        <v>46153</v>
      </c>
      <c r="F58" s="12"/>
    </row>
    <row r="59" spans="1:6" x14ac:dyDescent="0.3">
      <c r="A59" s="101">
        <v>16841</v>
      </c>
      <c r="B59" s="92" t="s">
        <v>374</v>
      </c>
      <c r="C59" s="94">
        <v>637.28</v>
      </c>
      <c r="D59" s="4" t="s">
        <v>25</v>
      </c>
      <c r="E59" s="6">
        <v>46153</v>
      </c>
      <c r="F59" s="12"/>
    </row>
    <row r="60" spans="1:6" x14ac:dyDescent="0.3">
      <c r="A60" s="101">
        <v>16843</v>
      </c>
      <c r="B60" s="92" t="s">
        <v>866</v>
      </c>
      <c r="C60" s="94">
        <v>5546</v>
      </c>
      <c r="D60" s="4" t="s">
        <v>16</v>
      </c>
      <c r="E60" s="6">
        <v>46153</v>
      </c>
      <c r="F60" s="12"/>
    </row>
    <row r="61" spans="1:6" x14ac:dyDescent="0.3">
      <c r="A61" s="101">
        <v>16846</v>
      </c>
      <c r="B61" s="92" t="s">
        <v>44</v>
      </c>
      <c r="C61" s="94">
        <v>990</v>
      </c>
      <c r="D61" s="4" t="s">
        <v>10</v>
      </c>
      <c r="E61" s="6">
        <v>46153</v>
      </c>
      <c r="F61" s="12"/>
    </row>
    <row r="62" spans="1:6" x14ac:dyDescent="0.3">
      <c r="A62" s="101">
        <v>16848</v>
      </c>
      <c r="B62" s="92" t="s">
        <v>867</v>
      </c>
      <c r="C62" s="94">
        <v>16000</v>
      </c>
      <c r="D62" s="4" t="s">
        <v>13</v>
      </c>
      <c r="E62" s="6">
        <v>46153</v>
      </c>
      <c r="F62" s="12" t="s">
        <v>868</v>
      </c>
    </row>
    <row r="63" spans="1:6" x14ac:dyDescent="0.3">
      <c r="A63" s="101">
        <v>16857</v>
      </c>
      <c r="B63" s="92" t="s">
        <v>869</v>
      </c>
      <c r="C63" s="94">
        <v>19015</v>
      </c>
      <c r="D63" s="4" t="s">
        <v>10</v>
      </c>
      <c r="E63" s="6">
        <v>46153</v>
      </c>
      <c r="F63" s="12" t="s">
        <v>581</v>
      </c>
    </row>
    <row r="64" spans="1:6" x14ac:dyDescent="0.3">
      <c r="A64" s="101">
        <v>16860</v>
      </c>
      <c r="B64" s="92" t="s">
        <v>870</v>
      </c>
      <c r="C64" s="94">
        <v>6486</v>
      </c>
      <c r="D64" s="4" t="s">
        <v>16</v>
      </c>
      <c r="E64" s="6">
        <v>46153</v>
      </c>
      <c r="F64" s="12"/>
    </row>
    <row r="65" spans="1:8" x14ac:dyDescent="0.3">
      <c r="A65" s="101">
        <v>16864</v>
      </c>
      <c r="B65" s="92" t="s">
        <v>871</v>
      </c>
      <c r="C65" s="94">
        <v>238.27</v>
      </c>
      <c r="D65" s="4" t="s">
        <v>16</v>
      </c>
      <c r="E65" s="6">
        <v>46153</v>
      </c>
      <c r="F65" s="12" t="s">
        <v>762</v>
      </c>
      <c r="H65" s="13"/>
    </row>
    <row r="66" spans="1:8" x14ac:dyDescent="0.3">
      <c r="A66" s="101">
        <v>16886</v>
      </c>
      <c r="B66" s="92" t="s">
        <v>872</v>
      </c>
      <c r="C66" s="94">
        <v>23172.5</v>
      </c>
      <c r="D66" s="4" t="s">
        <v>16</v>
      </c>
      <c r="E66" s="6">
        <v>46153</v>
      </c>
      <c r="F66" s="12"/>
    </row>
    <row r="67" spans="1:8" x14ac:dyDescent="0.3">
      <c r="A67" s="101">
        <v>16859</v>
      </c>
      <c r="B67" s="92" t="s">
        <v>663</v>
      </c>
      <c r="C67" s="94">
        <v>46.55</v>
      </c>
      <c r="D67" s="4" t="s">
        <v>25</v>
      </c>
      <c r="E67" s="6">
        <v>46154</v>
      </c>
      <c r="F67" s="12"/>
    </row>
    <row r="68" spans="1:8" x14ac:dyDescent="0.3">
      <c r="A68" s="101">
        <v>16862</v>
      </c>
      <c r="B68" s="92" t="s">
        <v>873</v>
      </c>
      <c r="C68" s="94">
        <v>33.869999999999997</v>
      </c>
      <c r="D68" s="4" t="s">
        <v>25</v>
      </c>
      <c r="E68" s="6">
        <v>46154</v>
      </c>
      <c r="F68" s="12"/>
    </row>
    <row r="69" spans="1:8" x14ac:dyDescent="0.3">
      <c r="A69" s="101">
        <v>16863</v>
      </c>
      <c r="B69" s="92" t="s">
        <v>874</v>
      </c>
      <c r="C69" s="94">
        <v>584.58000000000004</v>
      </c>
      <c r="D69" s="4" t="s">
        <v>25</v>
      </c>
      <c r="E69" s="6">
        <v>46154</v>
      </c>
      <c r="F69" s="12"/>
    </row>
    <row r="70" spans="1:8" x14ac:dyDescent="0.3">
      <c r="A70" s="101">
        <v>16866</v>
      </c>
      <c r="B70" s="92" t="s">
        <v>875</v>
      </c>
      <c r="C70" s="94">
        <v>254.32</v>
      </c>
      <c r="D70" s="4" t="s">
        <v>25</v>
      </c>
      <c r="E70" s="6">
        <v>46154</v>
      </c>
      <c r="F70" s="110"/>
    </row>
    <row r="71" spans="1:8" x14ac:dyDescent="0.3">
      <c r="A71" s="101">
        <v>16869</v>
      </c>
      <c r="B71" s="92" t="s">
        <v>316</v>
      </c>
      <c r="C71" s="94">
        <v>601.74</v>
      </c>
      <c r="D71" s="4" t="s">
        <v>25</v>
      </c>
      <c r="E71" s="6">
        <v>46154</v>
      </c>
      <c r="F71" s="12"/>
    </row>
    <row r="72" spans="1:8" x14ac:dyDescent="0.3">
      <c r="A72" s="101">
        <v>16887</v>
      </c>
      <c r="B72" s="92" t="s">
        <v>876</v>
      </c>
      <c r="C72" s="94">
        <v>5059.03</v>
      </c>
      <c r="D72" s="4" t="s">
        <v>25</v>
      </c>
      <c r="E72" s="6">
        <v>46154</v>
      </c>
      <c r="F72" s="12"/>
    </row>
    <row r="73" spans="1:8" x14ac:dyDescent="0.3">
      <c r="A73" s="101">
        <v>16888</v>
      </c>
      <c r="B73" s="92" t="s">
        <v>877</v>
      </c>
      <c r="C73" s="94">
        <v>5605</v>
      </c>
      <c r="D73" s="4" t="s">
        <v>13</v>
      </c>
      <c r="E73" s="6">
        <v>46154</v>
      </c>
      <c r="F73" s="12"/>
    </row>
    <row r="74" spans="1:8" x14ac:dyDescent="0.3">
      <c r="A74" s="101">
        <v>16901</v>
      </c>
      <c r="B74" s="92" t="s">
        <v>878</v>
      </c>
      <c r="C74" s="94">
        <v>27914.95</v>
      </c>
      <c r="D74" s="4" t="s">
        <v>13</v>
      </c>
      <c r="E74" s="6">
        <v>46154</v>
      </c>
      <c r="F74" s="12" t="s">
        <v>879</v>
      </c>
    </row>
    <row r="75" spans="1:8" x14ac:dyDescent="0.3">
      <c r="A75" s="101">
        <v>16902</v>
      </c>
      <c r="B75" s="92" t="s">
        <v>880</v>
      </c>
      <c r="C75" s="94">
        <v>11565</v>
      </c>
      <c r="D75" s="4" t="s">
        <v>10</v>
      </c>
      <c r="E75" s="6">
        <v>46154</v>
      </c>
      <c r="F75" s="12"/>
    </row>
    <row r="76" spans="1:8" x14ac:dyDescent="0.3">
      <c r="A76" s="101">
        <v>16903</v>
      </c>
      <c r="B76" s="92" t="s">
        <v>380</v>
      </c>
      <c r="C76" s="94">
        <v>10500</v>
      </c>
      <c r="D76" s="4" t="s">
        <v>10</v>
      </c>
      <c r="E76" s="6">
        <v>46154</v>
      </c>
      <c r="F76" s="12"/>
    </row>
    <row r="77" spans="1:8" x14ac:dyDescent="0.3">
      <c r="A77" s="101">
        <v>16905</v>
      </c>
      <c r="B77" s="92" t="s">
        <v>881</v>
      </c>
      <c r="C77" s="94">
        <v>738</v>
      </c>
      <c r="D77" s="9" t="s">
        <v>16</v>
      </c>
      <c r="E77" s="6">
        <v>46154</v>
      </c>
      <c r="F77" s="12"/>
    </row>
    <row r="78" spans="1:8" x14ac:dyDescent="0.3">
      <c r="A78" s="101">
        <v>16909</v>
      </c>
      <c r="B78" s="92" t="s">
        <v>882</v>
      </c>
      <c r="C78" s="94">
        <v>2061.5</v>
      </c>
      <c r="D78" s="4" t="s">
        <v>16</v>
      </c>
      <c r="E78" s="6">
        <v>46154</v>
      </c>
      <c r="F78" s="12"/>
    </row>
    <row r="79" spans="1:8" x14ac:dyDescent="0.3">
      <c r="A79" s="101">
        <v>16911</v>
      </c>
      <c r="B79" s="92" t="s">
        <v>883</v>
      </c>
      <c r="C79" s="94">
        <v>698</v>
      </c>
      <c r="D79" s="4" t="s">
        <v>10</v>
      </c>
      <c r="E79" s="6">
        <v>46154</v>
      </c>
      <c r="F79" s="12"/>
    </row>
    <row r="80" spans="1:8" x14ac:dyDescent="0.3">
      <c r="A80" s="101">
        <v>16906</v>
      </c>
      <c r="B80" s="92" t="s">
        <v>884</v>
      </c>
      <c r="C80" s="94">
        <v>324.61</v>
      </c>
      <c r="D80" s="4" t="s">
        <v>25</v>
      </c>
      <c r="E80" s="6">
        <v>46155</v>
      </c>
      <c r="F80" s="12"/>
    </row>
    <row r="81" spans="1:6" x14ac:dyDescent="0.3">
      <c r="A81" s="101">
        <v>16913</v>
      </c>
      <c r="B81" s="92" t="s">
        <v>461</v>
      </c>
      <c r="C81" s="94">
        <v>15.78</v>
      </c>
      <c r="D81" s="4" t="s">
        <v>25</v>
      </c>
      <c r="E81" s="6">
        <v>46155</v>
      </c>
      <c r="F81" s="12"/>
    </row>
    <row r="82" spans="1:6" x14ac:dyDescent="0.3">
      <c r="A82" s="101">
        <v>16915</v>
      </c>
      <c r="B82" s="92" t="s">
        <v>482</v>
      </c>
      <c r="C82" s="94">
        <v>9458.68</v>
      </c>
      <c r="D82" s="4" t="s">
        <v>25</v>
      </c>
      <c r="E82" s="6">
        <v>46155</v>
      </c>
      <c r="F82" s="12"/>
    </row>
    <row r="83" spans="1:6" x14ac:dyDescent="0.3">
      <c r="A83" s="101">
        <v>16932</v>
      </c>
      <c r="B83" s="92" t="s">
        <v>514</v>
      </c>
      <c r="C83" s="94">
        <v>16571</v>
      </c>
      <c r="D83" s="4" t="s">
        <v>10</v>
      </c>
      <c r="E83" s="6">
        <v>46155</v>
      </c>
      <c r="F83" s="12"/>
    </row>
    <row r="84" spans="1:6" x14ac:dyDescent="0.3">
      <c r="A84" s="101">
        <v>16933</v>
      </c>
      <c r="B84" s="92" t="s">
        <v>857</v>
      </c>
      <c r="C84" s="94">
        <v>1194</v>
      </c>
      <c r="D84" s="4" t="s">
        <v>16</v>
      </c>
      <c r="E84" s="6">
        <v>46155</v>
      </c>
      <c r="F84" s="12"/>
    </row>
    <row r="85" spans="1:6" x14ac:dyDescent="0.3">
      <c r="A85" s="101">
        <v>16938</v>
      </c>
      <c r="B85" s="92" t="s">
        <v>885</v>
      </c>
      <c r="C85" s="94">
        <v>715</v>
      </c>
      <c r="D85" s="4" t="s">
        <v>16</v>
      </c>
      <c r="E85" s="6">
        <v>46155</v>
      </c>
      <c r="F85" s="12" t="s">
        <v>762</v>
      </c>
    </row>
    <row r="86" spans="1:6" x14ac:dyDescent="0.3">
      <c r="A86" s="101">
        <v>16942</v>
      </c>
      <c r="B86" s="92" t="s">
        <v>886</v>
      </c>
      <c r="C86" s="94">
        <v>5900</v>
      </c>
      <c r="D86" s="4" t="s">
        <v>16</v>
      </c>
      <c r="E86" s="6">
        <v>46155</v>
      </c>
      <c r="F86" s="12" t="s">
        <v>762</v>
      </c>
    </row>
    <row r="87" spans="1:6" x14ac:dyDescent="0.3">
      <c r="A87" s="101">
        <v>16947</v>
      </c>
      <c r="B87" s="92" t="s">
        <v>887</v>
      </c>
      <c r="C87" s="94">
        <v>5900</v>
      </c>
      <c r="D87" s="4" t="s">
        <v>13</v>
      </c>
      <c r="E87" s="6">
        <v>46155</v>
      </c>
      <c r="F87" s="12"/>
    </row>
    <row r="88" spans="1:6" x14ac:dyDescent="0.3">
      <c r="A88" s="101">
        <v>16949</v>
      </c>
      <c r="B88" s="92" t="s">
        <v>888</v>
      </c>
      <c r="C88" s="94">
        <v>22900</v>
      </c>
      <c r="D88" s="9" t="s">
        <v>16</v>
      </c>
      <c r="E88" s="6">
        <v>46155</v>
      </c>
      <c r="F88" s="12"/>
    </row>
    <row r="89" spans="1:6" x14ac:dyDescent="0.3">
      <c r="A89" s="102">
        <v>16952</v>
      </c>
      <c r="B89" s="97" t="s">
        <v>765</v>
      </c>
      <c r="C89" s="94">
        <v>675.2</v>
      </c>
      <c r="D89" s="9" t="s">
        <v>16</v>
      </c>
      <c r="E89" s="6">
        <v>46155</v>
      </c>
      <c r="F89" s="12" t="s">
        <v>762</v>
      </c>
    </row>
    <row r="90" spans="1:6" x14ac:dyDescent="0.3">
      <c r="A90" s="101">
        <v>16956</v>
      </c>
      <c r="B90" s="92" t="s">
        <v>889</v>
      </c>
      <c r="C90" s="94">
        <v>547.79999999999995</v>
      </c>
      <c r="D90" s="4" t="s">
        <v>16</v>
      </c>
      <c r="E90" s="11">
        <v>46156</v>
      </c>
      <c r="F90" s="21" t="s">
        <v>762</v>
      </c>
    </row>
    <row r="91" spans="1:6" x14ac:dyDescent="0.3">
      <c r="A91" s="101">
        <v>16955</v>
      </c>
      <c r="B91" s="92" t="s">
        <v>890</v>
      </c>
      <c r="C91" s="94">
        <v>601.74</v>
      </c>
      <c r="D91" s="4" t="s">
        <v>25</v>
      </c>
      <c r="E91" s="11">
        <v>46156</v>
      </c>
      <c r="F91" s="12"/>
    </row>
    <row r="92" spans="1:6" x14ac:dyDescent="0.3">
      <c r="A92" s="101">
        <v>16957</v>
      </c>
      <c r="B92" s="92" t="s">
        <v>891</v>
      </c>
      <c r="C92" s="94">
        <v>190.74</v>
      </c>
      <c r="D92" s="4" t="s">
        <v>25</v>
      </c>
      <c r="E92" s="11">
        <v>46156</v>
      </c>
      <c r="F92" s="12"/>
    </row>
    <row r="93" spans="1:6" x14ac:dyDescent="0.3">
      <c r="A93" s="101">
        <v>16968</v>
      </c>
      <c r="B93" s="92" t="s">
        <v>892</v>
      </c>
      <c r="C93" s="94">
        <v>971.77</v>
      </c>
      <c r="D93" s="4" t="s">
        <v>16</v>
      </c>
      <c r="E93" s="6">
        <v>46156</v>
      </c>
      <c r="F93" s="12" t="s">
        <v>739</v>
      </c>
    </row>
    <row r="94" spans="1:6" x14ac:dyDescent="0.3">
      <c r="A94" s="101">
        <v>16969</v>
      </c>
      <c r="B94" s="92" t="s">
        <v>893</v>
      </c>
      <c r="C94" s="94">
        <v>21110</v>
      </c>
      <c r="D94" s="4" t="s">
        <v>10</v>
      </c>
      <c r="E94" s="6">
        <v>46156</v>
      </c>
      <c r="F94" s="12"/>
    </row>
    <row r="95" spans="1:6" x14ac:dyDescent="0.3">
      <c r="A95" s="101">
        <v>16970</v>
      </c>
      <c r="B95" s="92" t="s">
        <v>826</v>
      </c>
      <c r="C95" s="94">
        <v>4491</v>
      </c>
      <c r="D95" s="4" t="s">
        <v>10</v>
      </c>
      <c r="E95" s="6">
        <v>46156</v>
      </c>
      <c r="F95" s="12"/>
    </row>
    <row r="96" spans="1:6" x14ac:dyDescent="0.3">
      <c r="A96" s="101">
        <v>16972</v>
      </c>
      <c r="B96" s="92" t="s">
        <v>894</v>
      </c>
      <c r="C96" s="94">
        <v>10649</v>
      </c>
      <c r="D96" s="4" t="s">
        <v>16</v>
      </c>
      <c r="E96" s="6">
        <v>46156</v>
      </c>
      <c r="F96" s="34"/>
    </row>
    <row r="97" spans="1:6" x14ac:dyDescent="0.3">
      <c r="A97" s="101">
        <v>16979</v>
      </c>
      <c r="B97" s="92" t="s">
        <v>895</v>
      </c>
      <c r="C97" s="94">
        <v>12207.5</v>
      </c>
      <c r="D97" s="4" t="s">
        <v>16</v>
      </c>
      <c r="E97" s="6">
        <v>46157</v>
      </c>
      <c r="F97" s="12"/>
    </row>
    <row r="98" spans="1:6" x14ac:dyDescent="0.3">
      <c r="A98" s="101">
        <v>16983</v>
      </c>
      <c r="B98" s="92" t="s">
        <v>896</v>
      </c>
      <c r="C98" s="94">
        <v>4800</v>
      </c>
      <c r="D98" s="4" t="s">
        <v>10</v>
      </c>
      <c r="E98" s="6">
        <v>46157</v>
      </c>
      <c r="F98" s="12"/>
    </row>
    <row r="99" spans="1:6" x14ac:dyDescent="0.3">
      <c r="A99" s="101">
        <v>16971</v>
      </c>
      <c r="B99" s="92" t="s">
        <v>507</v>
      </c>
      <c r="C99" s="94">
        <v>44.16</v>
      </c>
      <c r="D99" s="4" t="s">
        <v>25</v>
      </c>
      <c r="E99" s="6">
        <v>46157</v>
      </c>
      <c r="F99" s="12"/>
    </row>
    <row r="100" spans="1:6" x14ac:dyDescent="0.3">
      <c r="A100" s="101">
        <v>16973</v>
      </c>
      <c r="B100" s="92" t="s">
        <v>897</v>
      </c>
      <c r="C100" s="94">
        <v>30</v>
      </c>
      <c r="D100" s="4" t="s">
        <v>25</v>
      </c>
      <c r="E100" s="6">
        <v>46157</v>
      </c>
      <c r="F100" s="12"/>
    </row>
    <row r="101" spans="1:6" x14ac:dyDescent="0.3">
      <c r="A101" s="101">
        <v>16974</v>
      </c>
      <c r="B101" s="92" t="s">
        <v>481</v>
      </c>
      <c r="C101" s="94">
        <v>15.78</v>
      </c>
      <c r="D101" s="4" t="s">
        <v>25</v>
      </c>
      <c r="E101" s="6">
        <v>46157</v>
      </c>
      <c r="F101" s="12"/>
    </row>
    <row r="102" spans="1:6" x14ac:dyDescent="0.3">
      <c r="A102" s="101">
        <v>16976</v>
      </c>
      <c r="B102" s="92" t="s">
        <v>591</v>
      </c>
      <c r="C102" s="94">
        <v>256.17</v>
      </c>
      <c r="D102" s="4" t="s">
        <v>25</v>
      </c>
      <c r="E102" s="6">
        <v>46157</v>
      </c>
      <c r="F102" s="12"/>
    </row>
    <row r="103" spans="1:6" x14ac:dyDescent="0.3">
      <c r="A103" s="101">
        <v>16977</v>
      </c>
      <c r="B103" s="92" t="s">
        <v>898</v>
      </c>
      <c r="C103" s="94">
        <v>381.48</v>
      </c>
      <c r="D103" s="4" t="s">
        <v>25</v>
      </c>
      <c r="E103" s="6">
        <v>46157</v>
      </c>
      <c r="F103" s="92"/>
    </row>
    <row r="104" spans="1:6" x14ac:dyDescent="0.3">
      <c r="A104" s="101">
        <v>16978</v>
      </c>
      <c r="B104" s="92" t="s">
        <v>699</v>
      </c>
      <c r="C104" s="94">
        <v>368.74</v>
      </c>
      <c r="D104" s="4" t="s">
        <v>25</v>
      </c>
      <c r="E104" s="6">
        <v>46157</v>
      </c>
      <c r="F104" s="92"/>
    </row>
    <row r="105" spans="1:6" x14ac:dyDescent="0.3">
      <c r="A105" s="92">
        <v>16990</v>
      </c>
      <c r="B105" s="92" t="s">
        <v>899</v>
      </c>
      <c r="C105" s="94">
        <v>14900</v>
      </c>
      <c r="D105" s="4" t="s">
        <v>16</v>
      </c>
      <c r="E105" s="6">
        <v>46157</v>
      </c>
      <c r="F105" s="92" t="s">
        <v>739</v>
      </c>
    </row>
    <row r="106" spans="1:6" x14ac:dyDescent="0.3">
      <c r="A106" s="92">
        <v>16991</v>
      </c>
      <c r="B106" s="92" t="s">
        <v>900</v>
      </c>
      <c r="C106" s="94">
        <v>101283.04</v>
      </c>
      <c r="D106" s="4" t="s">
        <v>13</v>
      </c>
      <c r="E106" s="6">
        <v>46157</v>
      </c>
      <c r="F106" s="92" t="s">
        <v>386</v>
      </c>
    </row>
    <row r="107" spans="1:6" x14ac:dyDescent="0.3">
      <c r="A107" s="101">
        <v>16994</v>
      </c>
      <c r="B107" s="92" t="s">
        <v>901</v>
      </c>
      <c r="C107" s="94">
        <v>3876</v>
      </c>
      <c r="D107" s="4" t="s">
        <v>16</v>
      </c>
      <c r="E107" s="6">
        <v>46157</v>
      </c>
      <c r="F107" s="12"/>
    </row>
    <row r="108" spans="1:6" x14ac:dyDescent="0.3">
      <c r="A108" s="101">
        <v>17003</v>
      </c>
      <c r="B108" s="92" t="s">
        <v>902</v>
      </c>
      <c r="C108" s="94">
        <v>12300</v>
      </c>
      <c r="D108" s="4" t="s">
        <v>16</v>
      </c>
      <c r="E108" s="6">
        <v>46157</v>
      </c>
      <c r="F108" s="12"/>
    </row>
    <row r="109" spans="1:6" x14ac:dyDescent="0.3">
      <c r="A109" s="102">
        <v>17007</v>
      </c>
      <c r="B109" s="97" t="s">
        <v>893</v>
      </c>
      <c r="C109" s="94">
        <v>3762</v>
      </c>
      <c r="D109" s="4" t="s">
        <v>10</v>
      </c>
      <c r="E109" s="6">
        <v>46157</v>
      </c>
      <c r="F109" s="12"/>
    </row>
    <row r="110" spans="1:6" x14ac:dyDescent="0.3">
      <c r="A110" s="101">
        <v>16996</v>
      </c>
      <c r="B110" s="92" t="s">
        <v>905</v>
      </c>
      <c r="C110" s="94">
        <v>63.58</v>
      </c>
      <c r="D110" s="4" t="s">
        <v>25</v>
      </c>
      <c r="E110" s="6">
        <v>46160</v>
      </c>
      <c r="F110" s="12"/>
    </row>
    <row r="111" spans="1:6" x14ac:dyDescent="0.3">
      <c r="A111" s="101">
        <v>16999</v>
      </c>
      <c r="B111" s="92" t="s">
        <v>906</v>
      </c>
      <c r="C111" s="94">
        <v>192.59</v>
      </c>
      <c r="D111" s="4" t="s">
        <v>25</v>
      </c>
      <c r="E111" s="6">
        <v>46160</v>
      </c>
      <c r="F111" s="12"/>
    </row>
    <row r="112" spans="1:6" x14ac:dyDescent="0.3">
      <c r="A112" s="25">
        <v>17001</v>
      </c>
      <c r="B112" s="92" t="s">
        <v>146</v>
      </c>
      <c r="C112" s="28">
        <v>99</v>
      </c>
      <c r="D112" s="4" t="s">
        <v>25</v>
      </c>
      <c r="E112" s="6">
        <v>46160</v>
      </c>
      <c r="F112" s="12"/>
    </row>
    <row r="113" spans="1:6" x14ac:dyDescent="0.3">
      <c r="A113" s="25">
        <v>17004</v>
      </c>
      <c r="B113" s="92" t="s">
        <v>907</v>
      </c>
      <c r="C113" s="94">
        <v>385.18</v>
      </c>
      <c r="D113" s="4" t="s">
        <v>25</v>
      </c>
      <c r="E113" s="6">
        <v>46160</v>
      </c>
      <c r="F113" s="12"/>
    </row>
    <row r="114" spans="1:6" x14ac:dyDescent="0.3">
      <c r="A114" s="25">
        <v>17005</v>
      </c>
      <c r="B114" s="92" t="s">
        <v>908</v>
      </c>
      <c r="C114" s="94">
        <v>127.16</v>
      </c>
      <c r="D114" s="4" t="s">
        <v>25</v>
      </c>
      <c r="E114" s="6">
        <v>46160</v>
      </c>
      <c r="F114" s="12"/>
    </row>
    <row r="115" spans="1:6" x14ac:dyDescent="0.3">
      <c r="A115" s="25">
        <v>17006</v>
      </c>
      <c r="B115" s="92" t="s">
        <v>909</v>
      </c>
      <c r="C115" s="94">
        <v>24</v>
      </c>
      <c r="D115" s="4" t="s">
        <v>25</v>
      </c>
      <c r="E115" s="6">
        <v>46160</v>
      </c>
      <c r="F115" s="12"/>
    </row>
    <row r="116" spans="1:6" x14ac:dyDescent="0.3">
      <c r="A116" s="25">
        <v>17008</v>
      </c>
      <c r="B116" s="92" t="s">
        <v>692</v>
      </c>
      <c r="C116" s="94">
        <v>3502.2</v>
      </c>
      <c r="D116" s="4" t="s">
        <v>25</v>
      </c>
      <c r="E116" s="6">
        <v>46160</v>
      </c>
      <c r="F116" s="12"/>
    </row>
    <row r="117" spans="1:6" x14ac:dyDescent="0.3">
      <c r="A117" s="25">
        <v>17009</v>
      </c>
      <c r="B117" s="92" t="s">
        <v>468</v>
      </c>
      <c r="C117" s="94">
        <v>3502.2</v>
      </c>
      <c r="D117" s="4" t="s">
        <v>25</v>
      </c>
      <c r="E117" s="6">
        <v>46160</v>
      </c>
      <c r="F117" s="12"/>
    </row>
    <row r="118" spans="1:6" x14ac:dyDescent="0.3">
      <c r="A118" s="25">
        <v>17010</v>
      </c>
      <c r="B118" s="92" t="s">
        <v>910</v>
      </c>
      <c r="C118" s="94">
        <v>3502.2</v>
      </c>
      <c r="D118" s="4" t="s">
        <v>25</v>
      </c>
      <c r="E118" s="6">
        <v>46160</v>
      </c>
      <c r="F118" s="12" t="s">
        <v>904</v>
      </c>
    </row>
    <row r="119" spans="1:6" x14ac:dyDescent="0.3">
      <c r="A119" s="25">
        <v>17017</v>
      </c>
      <c r="B119" s="92" t="s">
        <v>903</v>
      </c>
      <c r="C119" s="94">
        <v>14391</v>
      </c>
      <c r="D119" s="4" t="s">
        <v>10</v>
      </c>
      <c r="E119" s="6">
        <v>46160</v>
      </c>
      <c r="F119" s="12"/>
    </row>
    <row r="120" spans="1:6" x14ac:dyDescent="0.3">
      <c r="A120" s="101">
        <v>17022</v>
      </c>
      <c r="B120" s="92" t="s">
        <v>647</v>
      </c>
      <c r="C120" s="94">
        <v>5436</v>
      </c>
      <c r="D120" s="4" t="s">
        <v>10</v>
      </c>
      <c r="E120" s="6">
        <v>46160</v>
      </c>
      <c r="F120" s="12"/>
    </row>
    <row r="121" spans="1:6" x14ac:dyDescent="0.3">
      <c r="A121" s="101">
        <v>17026</v>
      </c>
      <c r="B121" s="92" t="s">
        <v>911</v>
      </c>
      <c r="C121" s="94">
        <v>24462.5</v>
      </c>
      <c r="D121" s="4" t="s">
        <v>16</v>
      </c>
      <c r="E121" s="6">
        <v>46160</v>
      </c>
      <c r="F121" s="12" t="s">
        <v>912</v>
      </c>
    </row>
    <row r="122" spans="1:6" x14ac:dyDescent="0.3">
      <c r="A122" s="101">
        <v>17030</v>
      </c>
      <c r="B122" s="92" t="s">
        <v>913</v>
      </c>
      <c r="C122" s="94">
        <v>5436</v>
      </c>
      <c r="D122" s="4" t="s">
        <v>16</v>
      </c>
      <c r="E122" s="6">
        <v>46160</v>
      </c>
      <c r="F122" s="12"/>
    </row>
    <row r="123" spans="1:6" x14ac:dyDescent="0.3">
      <c r="A123" s="101">
        <v>16177</v>
      </c>
      <c r="B123" s="92" t="s">
        <v>648</v>
      </c>
      <c r="C123" s="94">
        <v>12900</v>
      </c>
      <c r="D123" s="4" t="s">
        <v>10</v>
      </c>
      <c r="E123" s="6">
        <v>46119</v>
      </c>
      <c r="F123" s="12" t="s">
        <v>914</v>
      </c>
    </row>
    <row r="124" spans="1:6" x14ac:dyDescent="0.3">
      <c r="A124" s="101">
        <v>17031</v>
      </c>
      <c r="B124" s="92" t="s">
        <v>915</v>
      </c>
      <c r="C124" s="94">
        <v>12490</v>
      </c>
      <c r="D124" s="4" t="s">
        <v>10</v>
      </c>
      <c r="E124" s="6">
        <v>46160</v>
      </c>
      <c r="F124" s="31"/>
    </row>
    <row r="125" spans="1:6" x14ac:dyDescent="0.3">
      <c r="A125" s="101">
        <v>16954</v>
      </c>
      <c r="B125" s="92" t="s">
        <v>916</v>
      </c>
      <c r="C125" s="94">
        <v>10300</v>
      </c>
      <c r="D125" s="4" t="s">
        <v>13</v>
      </c>
      <c r="E125" s="6">
        <v>46160</v>
      </c>
      <c r="F125" s="12"/>
    </row>
    <row r="126" spans="1:6" x14ac:dyDescent="0.3">
      <c r="A126" s="101">
        <v>17040</v>
      </c>
      <c r="B126" s="92" t="s">
        <v>917</v>
      </c>
      <c r="C126" s="94">
        <v>125.5</v>
      </c>
      <c r="D126" s="4" t="s">
        <v>16</v>
      </c>
      <c r="E126" s="6">
        <v>46160</v>
      </c>
      <c r="F126" s="12"/>
    </row>
    <row r="127" spans="1:6" x14ac:dyDescent="0.3">
      <c r="A127" s="101">
        <v>17041</v>
      </c>
      <c r="B127" s="92" t="s">
        <v>918</v>
      </c>
      <c r="C127" s="94">
        <v>15991</v>
      </c>
      <c r="D127" s="4" t="s">
        <v>13</v>
      </c>
      <c r="E127" s="6">
        <v>46160</v>
      </c>
      <c r="F127" s="12"/>
    </row>
    <row r="128" spans="1:6" x14ac:dyDescent="0.3">
      <c r="A128" s="101">
        <v>17042</v>
      </c>
      <c r="B128" s="92" t="s">
        <v>572</v>
      </c>
      <c r="C128" s="94">
        <v>63.58</v>
      </c>
      <c r="D128" s="4" t="s">
        <v>25</v>
      </c>
      <c r="E128" s="6">
        <v>46161</v>
      </c>
      <c r="F128" s="12"/>
    </row>
    <row r="129" spans="1:6" x14ac:dyDescent="0.3">
      <c r="A129" s="101">
        <v>17043</v>
      </c>
      <c r="B129" s="92" t="s">
        <v>919</v>
      </c>
      <c r="C129" s="94">
        <v>768.51</v>
      </c>
      <c r="D129" s="4" t="s">
        <v>25</v>
      </c>
      <c r="E129" s="6">
        <v>46161</v>
      </c>
      <c r="F129" s="12"/>
    </row>
    <row r="130" spans="1:6" x14ac:dyDescent="0.3">
      <c r="A130" s="101">
        <v>17045</v>
      </c>
      <c r="B130" s="92" t="s">
        <v>876</v>
      </c>
      <c r="C130" s="94">
        <v>11.25</v>
      </c>
      <c r="D130" s="4" t="s">
        <v>25</v>
      </c>
      <c r="E130" s="6">
        <v>46161</v>
      </c>
      <c r="F130" s="12"/>
    </row>
    <row r="131" spans="1:6" x14ac:dyDescent="0.3">
      <c r="A131" s="101">
        <v>17047</v>
      </c>
      <c r="B131" s="92" t="s">
        <v>920</v>
      </c>
      <c r="C131" s="94">
        <v>192.59</v>
      </c>
      <c r="D131" s="4" t="s">
        <v>25</v>
      </c>
      <c r="E131" s="6">
        <v>46161</v>
      </c>
      <c r="F131" s="12"/>
    </row>
    <row r="132" spans="1:6" x14ac:dyDescent="0.3">
      <c r="A132" s="101">
        <v>17048</v>
      </c>
      <c r="B132" s="92" t="s">
        <v>921</v>
      </c>
      <c r="C132" s="94">
        <v>11.25</v>
      </c>
      <c r="D132" s="4" t="s">
        <v>25</v>
      </c>
      <c r="E132" s="6">
        <v>46161</v>
      </c>
      <c r="F132" s="12"/>
    </row>
    <row r="133" spans="1:6" x14ac:dyDescent="0.3">
      <c r="A133" s="101">
        <v>17053</v>
      </c>
      <c r="B133" s="92" t="s">
        <v>576</v>
      </c>
      <c r="C133" s="94">
        <v>14120</v>
      </c>
      <c r="D133" s="4" t="s">
        <v>25</v>
      </c>
      <c r="E133" s="6">
        <v>46161</v>
      </c>
      <c r="F133" s="12"/>
    </row>
    <row r="134" spans="1:6" x14ac:dyDescent="0.3">
      <c r="A134" s="21">
        <v>17054</v>
      </c>
      <c r="B134" s="92" t="s">
        <v>922</v>
      </c>
      <c r="C134" s="94">
        <v>196</v>
      </c>
      <c r="D134" s="4" t="s">
        <v>16</v>
      </c>
      <c r="E134" s="6">
        <v>46161</v>
      </c>
      <c r="F134" s="12"/>
    </row>
    <row r="135" spans="1:6" x14ac:dyDescent="0.3">
      <c r="A135" s="101">
        <v>17055</v>
      </c>
      <c r="B135" s="92" t="s">
        <v>923</v>
      </c>
      <c r="C135" s="94">
        <v>254.32</v>
      </c>
      <c r="D135" s="4" t="s">
        <v>25</v>
      </c>
      <c r="E135" s="6">
        <v>46161</v>
      </c>
      <c r="F135" s="12"/>
    </row>
    <row r="136" spans="1:6" x14ac:dyDescent="0.3">
      <c r="A136" s="101">
        <v>17062</v>
      </c>
      <c r="B136" s="92" t="s">
        <v>926</v>
      </c>
      <c r="C136" s="94">
        <v>12207.5</v>
      </c>
      <c r="D136" s="4" t="s">
        <v>16</v>
      </c>
      <c r="E136" s="6">
        <v>46161</v>
      </c>
      <c r="F136" s="12" t="s">
        <v>739</v>
      </c>
    </row>
    <row r="137" spans="1:6" x14ac:dyDescent="0.3">
      <c r="A137" s="101">
        <v>17063</v>
      </c>
      <c r="B137" s="92" t="s">
        <v>927</v>
      </c>
      <c r="C137" s="94">
        <v>240</v>
      </c>
      <c r="D137" s="4" t="s">
        <v>10</v>
      </c>
      <c r="E137" s="6">
        <v>46161</v>
      </c>
      <c r="F137" s="12"/>
    </row>
    <row r="138" spans="1:6" x14ac:dyDescent="0.3">
      <c r="A138" s="101">
        <v>17046</v>
      </c>
      <c r="B138" s="92" t="s">
        <v>928</v>
      </c>
      <c r="C138" s="94">
        <v>2970</v>
      </c>
      <c r="D138" s="9" t="s">
        <v>16</v>
      </c>
      <c r="E138" s="6">
        <v>46161</v>
      </c>
      <c r="F138" s="12"/>
    </row>
    <row r="139" spans="1:6" x14ac:dyDescent="0.3">
      <c r="A139" s="101">
        <v>17073</v>
      </c>
      <c r="B139" s="92" t="s">
        <v>929</v>
      </c>
      <c r="C139" s="94">
        <v>537</v>
      </c>
      <c r="D139" s="9" t="s">
        <v>16</v>
      </c>
      <c r="E139" s="6">
        <v>46162</v>
      </c>
      <c r="F139" s="12"/>
    </row>
    <row r="140" spans="1:6" x14ac:dyDescent="0.3">
      <c r="A140" s="92">
        <v>17067</v>
      </c>
      <c r="B140" s="92" t="s">
        <v>930</v>
      </c>
      <c r="C140" s="94">
        <v>5520</v>
      </c>
      <c r="D140" s="4" t="s">
        <v>25</v>
      </c>
      <c r="E140" s="6">
        <v>46162</v>
      </c>
      <c r="F140" s="12"/>
    </row>
    <row r="141" spans="1:6" ht="15.75" customHeight="1" x14ac:dyDescent="0.3">
      <c r="A141" s="92">
        <v>17068</v>
      </c>
      <c r="B141" s="92" t="s">
        <v>835</v>
      </c>
      <c r="C141" s="94">
        <v>63.58</v>
      </c>
      <c r="D141" s="4" t="s">
        <v>25</v>
      </c>
      <c r="E141" s="6">
        <v>46162</v>
      </c>
      <c r="F141" s="12"/>
    </row>
    <row r="142" spans="1:6" x14ac:dyDescent="0.3">
      <c r="A142" s="101">
        <v>17071</v>
      </c>
      <c r="B142" s="92" t="s">
        <v>576</v>
      </c>
      <c r="C142" s="94">
        <v>601.74</v>
      </c>
      <c r="D142" s="4" t="s">
        <v>25</v>
      </c>
      <c r="E142" s="6">
        <v>46162</v>
      </c>
      <c r="F142" s="12"/>
    </row>
    <row r="143" spans="1:6" x14ac:dyDescent="0.3">
      <c r="A143" s="101">
        <v>17077</v>
      </c>
      <c r="B143" s="92" t="s">
        <v>931</v>
      </c>
      <c r="C143" s="94">
        <v>4080</v>
      </c>
      <c r="D143" s="9" t="s">
        <v>10</v>
      </c>
      <c r="E143" s="6">
        <v>46162</v>
      </c>
      <c r="F143" s="12"/>
    </row>
    <row r="144" spans="1:6" x14ac:dyDescent="0.3">
      <c r="A144" s="27">
        <v>17079</v>
      </c>
      <c r="B144" s="92" t="s">
        <v>932</v>
      </c>
      <c r="C144" s="30">
        <v>5900</v>
      </c>
      <c r="D144" s="9" t="s">
        <v>10</v>
      </c>
      <c r="E144" s="6">
        <v>46162</v>
      </c>
      <c r="F144" s="12"/>
    </row>
    <row r="145" spans="1:6" x14ac:dyDescent="0.3">
      <c r="A145" s="101">
        <v>17086</v>
      </c>
      <c r="B145" s="92" t="s">
        <v>933</v>
      </c>
      <c r="C145" s="94">
        <v>18320</v>
      </c>
      <c r="D145" s="9" t="s">
        <v>10</v>
      </c>
      <c r="E145" s="6">
        <v>46162</v>
      </c>
      <c r="F145" s="12"/>
    </row>
    <row r="146" spans="1:6" x14ac:dyDescent="0.3">
      <c r="A146" s="101">
        <v>17094</v>
      </c>
      <c r="B146" s="92" t="s">
        <v>934</v>
      </c>
      <c r="C146" s="94">
        <v>7251</v>
      </c>
      <c r="D146" s="9" t="s">
        <v>16</v>
      </c>
      <c r="E146" s="6">
        <v>46162</v>
      </c>
      <c r="F146" s="12"/>
    </row>
    <row r="147" spans="1:6" x14ac:dyDescent="0.3">
      <c r="A147" s="103">
        <v>17100</v>
      </c>
      <c r="B147" s="98" t="s">
        <v>935</v>
      </c>
      <c r="C147" s="100">
        <v>7994.4</v>
      </c>
      <c r="D147" s="9" t="s">
        <v>13</v>
      </c>
      <c r="E147" s="6">
        <v>46163</v>
      </c>
      <c r="F147" s="12"/>
    </row>
    <row r="148" spans="1:6" x14ac:dyDescent="0.3">
      <c r="A148" s="103">
        <v>17085</v>
      </c>
      <c r="B148" s="113" t="s">
        <v>936</v>
      </c>
      <c r="C148" s="100">
        <v>192.59</v>
      </c>
      <c r="D148" s="4" t="s">
        <v>25</v>
      </c>
      <c r="E148" s="6">
        <v>46163</v>
      </c>
      <c r="F148" s="12"/>
    </row>
    <row r="149" spans="1:6" x14ac:dyDescent="0.3">
      <c r="A149" s="103">
        <v>17087</v>
      </c>
      <c r="B149" s="98" t="s">
        <v>73</v>
      </c>
      <c r="C149" s="100">
        <v>385.18</v>
      </c>
      <c r="D149" s="4" t="s">
        <v>25</v>
      </c>
      <c r="E149" s="6">
        <v>46163</v>
      </c>
      <c r="F149" s="12"/>
    </row>
    <row r="150" spans="1:6" x14ac:dyDescent="0.3">
      <c r="A150" s="103">
        <v>17089</v>
      </c>
      <c r="B150" s="98" t="s">
        <v>572</v>
      </c>
      <c r="C150" s="100">
        <v>4392.2</v>
      </c>
      <c r="D150" s="4" t="s">
        <v>25</v>
      </c>
      <c r="E150" s="6">
        <v>46163</v>
      </c>
      <c r="F150" s="12"/>
    </row>
    <row r="151" spans="1:6" x14ac:dyDescent="0.3">
      <c r="A151" s="103">
        <v>17090</v>
      </c>
      <c r="B151" s="98" t="s">
        <v>923</v>
      </c>
      <c r="C151" s="100">
        <v>385.18</v>
      </c>
      <c r="D151" s="4" t="s">
        <v>25</v>
      </c>
      <c r="E151" s="6">
        <v>46163</v>
      </c>
      <c r="F151" s="12"/>
    </row>
    <row r="152" spans="1:6" x14ac:dyDescent="0.3">
      <c r="A152" s="101">
        <v>17103</v>
      </c>
      <c r="B152" s="92" t="s">
        <v>937</v>
      </c>
      <c r="C152" s="94">
        <v>31.56</v>
      </c>
      <c r="D152" s="4" t="s">
        <v>25</v>
      </c>
      <c r="E152" s="6">
        <v>46163</v>
      </c>
      <c r="F152" s="12"/>
    </row>
    <row r="153" spans="1:6" x14ac:dyDescent="0.3">
      <c r="A153" s="105">
        <v>17104</v>
      </c>
      <c r="B153" s="98" t="s">
        <v>528</v>
      </c>
      <c r="C153" s="106">
        <v>420.75</v>
      </c>
      <c r="D153" s="4" t="s">
        <v>25</v>
      </c>
      <c r="E153" s="6">
        <v>46163</v>
      </c>
      <c r="F153" s="12"/>
    </row>
    <row r="154" spans="1:6" x14ac:dyDescent="0.3">
      <c r="A154" s="107">
        <v>17106</v>
      </c>
      <c r="B154" s="98" t="s">
        <v>938</v>
      </c>
      <c r="C154" s="108">
        <v>15.78</v>
      </c>
      <c r="D154" s="4" t="s">
        <v>25</v>
      </c>
      <c r="E154" s="6">
        <v>46163</v>
      </c>
      <c r="F154" s="12"/>
    </row>
    <row r="155" spans="1:6" x14ac:dyDescent="0.3">
      <c r="A155" s="103">
        <v>17109</v>
      </c>
      <c r="B155" s="98" t="s">
        <v>939</v>
      </c>
      <c r="C155" s="100">
        <v>4990</v>
      </c>
      <c r="D155" s="9" t="s">
        <v>16</v>
      </c>
      <c r="E155" s="6">
        <v>46163</v>
      </c>
      <c r="F155" s="12"/>
    </row>
    <row r="156" spans="1:6" x14ac:dyDescent="0.3">
      <c r="A156" s="103">
        <v>17120</v>
      </c>
      <c r="B156" s="98" t="s">
        <v>940</v>
      </c>
      <c r="C156" s="100">
        <v>62176</v>
      </c>
      <c r="D156" s="9" t="s">
        <v>16</v>
      </c>
      <c r="E156" s="6">
        <v>46163</v>
      </c>
      <c r="F156" s="12"/>
    </row>
    <row r="157" spans="1:6" x14ac:dyDescent="0.3">
      <c r="A157" s="103">
        <v>17122</v>
      </c>
      <c r="B157" s="98" t="s">
        <v>941</v>
      </c>
      <c r="C157" s="100">
        <v>1830</v>
      </c>
      <c r="D157" s="9" t="s">
        <v>10</v>
      </c>
      <c r="E157" s="6">
        <v>46163</v>
      </c>
      <c r="F157" s="12"/>
    </row>
    <row r="158" spans="1:6" x14ac:dyDescent="0.3">
      <c r="A158" s="103">
        <v>17127</v>
      </c>
      <c r="B158" s="98" t="s">
        <v>939</v>
      </c>
      <c r="C158" s="100">
        <v>12900</v>
      </c>
      <c r="D158" s="9" t="s">
        <v>16</v>
      </c>
      <c r="E158" s="6">
        <v>46163</v>
      </c>
      <c r="F158" s="12"/>
    </row>
    <row r="159" spans="1:6" x14ac:dyDescent="0.3">
      <c r="A159" s="98">
        <v>17132</v>
      </c>
      <c r="B159" s="98" t="s">
        <v>942</v>
      </c>
      <c r="C159" s="100">
        <v>16930</v>
      </c>
      <c r="D159" s="9" t="s">
        <v>16</v>
      </c>
      <c r="E159" s="6">
        <v>46163</v>
      </c>
      <c r="F159" s="12"/>
    </row>
    <row r="160" spans="1:6" x14ac:dyDescent="0.3">
      <c r="A160" s="103">
        <v>17135</v>
      </c>
      <c r="B160" s="98" t="s">
        <v>943</v>
      </c>
      <c r="C160" s="100">
        <v>9900</v>
      </c>
      <c r="D160" s="9" t="s">
        <v>13</v>
      </c>
      <c r="E160" s="6">
        <v>46163</v>
      </c>
      <c r="F160" s="12"/>
    </row>
    <row r="161" spans="1:6" x14ac:dyDescent="0.3">
      <c r="A161" s="103">
        <v>17128</v>
      </c>
      <c r="B161" s="98" t="s">
        <v>949</v>
      </c>
      <c r="C161" s="100">
        <v>63.58</v>
      </c>
      <c r="D161" s="4" t="s">
        <v>25</v>
      </c>
      <c r="E161" s="6">
        <v>46164</v>
      </c>
      <c r="F161" s="31"/>
    </row>
    <row r="162" spans="1:6" x14ac:dyDescent="0.3">
      <c r="A162" s="103">
        <v>17131</v>
      </c>
      <c r="B162" s="98" t="s">
        <v>948</v>
      </c>
      <c r="C162" s="100">
        <v>63.58</v>
      </c>
      <c r="D162" s="4" t="s">
        <v>25</v>
      </c>
      <c r="E162" s="6">
        <v>46164</v>
      </c>
      <c r="F162" s="12"/>
    </row>
    <row r="163" spans="1:6" x14ac:dyDescent="0.3">
      <c r="A163" s="103">
        <v>17133</v>
      </c>
      <c r="B163" s="98" t="s">
        <v>508</v>
      </c>
      <c r="C163" s="100">
        <v>22.5</v>
      </c>
      <c r="D163" s="4" t="s">
        <v>25</v>
      </c>
      <c r="E163" s="6">
        <v>46164</v>
      </c>
      <c r="F163" s="12"/>
    </row>
    <row r="164" spans="1:6" x14ac:dyDescent="0.3">
      <c r="A164" s="103">
        <v>17134</v>
      </c>
      <c r="B164" s="98" t="s">
        <v>947</v>
      </c>
      <c r="C164" s="100">
        <v>317.89999999999998</v>
      </c>
      <c r="D164" s="4" t="s">
        <v>25</v>
      </c>
      <c r="E164" s="6">
        <v>46164</v>
      </c>
      <c r="F164" s="12"/>
    </row>
    <row r="165" spans="1:6" x14ac:dyDescent="0.3">
      <c r="A165" s="103">
        <v>17147</v>
      </c>
      <c r="B165" s="98" t="s">
        <v>594</v>
      </c>
      <c r="C165" s="100">
        <v>99</v>
      </c>
      <c r="D165" s="4" t="s">
        <v>25</v>
      </c>
      <c r="E165" s="6">
        <v>46164</v>
      </c>
      <c r="F165" s="12"/>
    </row>
    <row r="166" spans="1:6" x14ac:dyDescent="0.3">
      <c r="A166" s="103">
        <v>17148</v>
      </c>
      <c r="B166" s="98" t="s">
        <v>946</v>
      </c>
      <c r="C166" s="100">
        <v>635.91999999999996</v>
      </c>
      <c r="D166" s="4" t="s">
        <v>25</v>
      </c>
      <c r="E166" s="6">
        <v>46164</v>
      </c>
      <c r="F166" s="12"/>
    </row>
    <row r="167" spans="1:6" x14ac:dyDescent="0.3">
      <c r="A167" s="103">
        <v>17149</v>
      </c>
      <c r="B167" s="98" t="s">
        <v>945</v>
      </c>
      <c r="C167" s="100">
        <v>127.16</v>
      </c>
      <c r="D167" s="4" t="s">
        <v>25</v>
      </c>
      <c r="E167" s="6">
        <v>46164</v>
      </c>
      <c r="F167" s="12"/>
    </row>
    <row r="168" spans="1:6" x14ac:dyDescent="0.3">
      <c r="A168" s="103">
        <v>17159</v>
      </c>
      <c r="B168" s="98" t="s">
        <v>693</v>
      </c>
      <c r="C168" s="100">
        <v>307.8</v>
      </c>
      <c r="D168" s="9" t="s">
        <v>10</v>
      </c>
      <c r="E168" s="6">
        <v>46164</v>
      </c>
      <c r="F168" s="12"/>
    </row>
    <row r="169" spans="1:6" x14ac:dyDescent="0.3">
      <c r="A169" s="103">
        <v>17151</v>
      </c>
      <c r="B169" s="98" t="s">
        <v>944</v>
      </c>
      <c r="C169" s="100">
        <v>5900</v>
      </c>
      <c r="D169" s="9" t="s">
        <v>10</v>
      </c>
      <c r="E169" s="6">
        <v>46164</v>
      </c>
      <c r="F169" s="31"/>
    </row>
    <row r="170" spans="1:6" x14ac:dyDescent="0.3">
      <c r="A170" s="103">
        <v>17174</v>
      </c>
      <c r="B170" s="98" t="s">
        <v>955</v>
      </c>
      <c r="C170" s="100">
        <v>23226</v>
      </c>
      <c r="D170" s="9" t="s">
        <v>13</v>
      </c>
      <c r="E170" s="6">
        <v>46164</v>
      </c>
      <c r="F170" s="12" t="s">
        <v>386</v>
      </c>
    </row>
    <row r="171" spans="1:6" x14ac:dyDescent="0.3">
      <c r="A171" s="103">
        <v>17156</v>
      </c>
      <c r="B171" s="98" t="s">
        <v>950</v>
      </c>
      <c r="C171" s="100">
        <v>15.78</v>
      </c>
      <c r="D171" s="4" t="s">
        <v>25</v>
      </c>
      <c r="E171" s="6">
        <v>46164</v>
      </c>
      <c r="F171" s="12"/>
    </row>
    <row r="172" spans="1:6" x14ac:dyDescent="0.3">
      <c r="A172" s="103">
        <v>17172</v>
      </c>
      <c r="B172" s="98" t="s">
        <v>951</v>
      </c>
      <c r="C172" s="100">
        <v>4900</v>
      </c>
      <c r="D172" s="9" t="s">
        <v>16</v>
      </c>
      <c r="E172" s="6">
        <v>46167</v>
      </c>
      <c r="F172" s="12"/>
    </row>
    <row r="173" spans="1:6" x14ac:dyDescent="0.3">
      <c r="A173" s="103">
        <v>17162</v>
      </c>
      <c r="B173" s="98" t="s">
        <v>953</v>
      </c>
      <c r="C173" s="100">
        <v>324.61</v>
      </c>
      <c r="D173" s="4" t="s">
        <v>25</v>
      </c>
      <c r="E173" s="6">
        <v>46167</v>
      </c>
      <c r="F173" s="12"/>
    </row>
    <row r="174" spans="1:6" x14ac:dyDescent="0.3">
      <c r="A174" s="103">
        <v>17163</v>
      </c>
      <c r="B174" s="98" t="s">
        <v>905</v>
      </c>
      <c r="C174" s="100">
        <v>324.61</v>
      </c>
      <c r="D174" s="4" t="s">
        <v>25</v>
      </c>
      <c r="E174" s="6">
        <v>46167</v>
      </c>
      <c r="F174" s="12"/>
    </row>
    <row r="175" spans="1:6" x14ac:dyDescent="0.3">
      <c r="A175" s="103">
        <v>17164</v>
      </c>
      <c r="B175" s="98" t="s">
        <v>954</v>
      </c>
      <c r="C175" s="100">
        <v>91.23</v>
      </c>
      <c r="D175" s="4" t="s">
        <v>25</v>
      </c>
      <c r="E175" s="6">
        <v>46167</v>
      </c>
      <c r="F175" s="12"/>
    </row>
    <row r="176" spans="1:6" x14ac:dyDescent="0.3">
      <c r="A176" s="103">
        <v>17168</v>
      </c>
      <c r="B176" s="98" t="s">
        <v>936</v>
      </c>
      <c r="C176" s="100">
        <v>15.78</v>
      </c>
      <c r="D176" s="4" t="s">
        <v>25</v>
      </c>
      <c r="E176" s="6">
        <v>46167</v>
      </c>
      <c r="F176" s="12"/>
    </row>
    <row r="177" spans="1:6" x14ac:dyDescent="0.3">
      <c r="A177" s="103">
        <v>17169</v>
      </c>
      <c r="B177" s="98" t="s">
        <v>671</v>
      </c>
      <c r="C177" s="100">
        <v>15.78</v>
      </c>
      <c r="D177" s="4" t="s">
        <v>25</v>
      </c>
      <c r="E177" s="6">
        <v>46167</v>
      </c>
      <c r="F177" s="12"/>
    </row>
    <row r="178" spans="1:6" x14ac:dyDescent="0.3">
      <c r="A178" s="103">
        <v>17180</v>
      </c>
      <c r="B178" s="98" t="s">
        <v>956</v>
      </c>
      <c r="C178" s="100">
        <v>4900</v>
      </c>
      <c r="D178" s="15" t="s">
        <v>16</v>
      </c>
      <c r="E178" s="6">
        <v>46167</v>
      </c>
      <c r="F178" s="12"/>
    </row>
    <row r="179" spans="1:6" x14ac:dyDescent="0.3">
      <c r="A179" s="103">
        <v>17182</v>
      </c>
      <c r="B179" s="98" t="s">
        <v>178</v>
      </c>
      <c r="C179" s="100">
        <v>1510.5</v>
      </c>
      <c r="D179" s="15" t="s">
        <v>16</v>
      </c>
      <c r="E179" s="6">
        <v>46167</v>
      </c>
      <c r="F179" s="12"/>
    </row>
    <row r="180" spans="1:6" x14ac:dyDescent="0.3">
      <c r="A180" s="103">
        <v>17188</v>
      </c>
      <c r="B180" s="98" t="s">
        <v>957</v>
      </c>
      <c r="C180" s="100">
        <v>3502</v>
      </c>
      <c r="D180" s="9" t="s">
        <v>10</v>
      </c>
      <c r="E180" s="6">
        <v>46167</v>
      </c>
      <c r="F180" s="12"/>
    </row>
    <row r="181" spans="1:6" x14ac:dyDescent="0.3">
      <c r="A181" s="103">
        <v>17184</v>
      </c>
      <c r="B181" s="98" t="s">
        <v>655</v>
      </c>
      <c r="C181" s="100">
        <v>577.77</v>
      </c>
      <c r="D181" s="4" t="s">
        <v>25</v>
      </c>
      <c r="E181" s="6">
        <v>46168</v>
      </c>
      <c r="F181" s="12"/>
    </row>
    <row r="182" spans="1:6" x14ac:dyDescent="0.3">
      <c r="A182" s="103">
        <v>17186</v>
      </c>
      <c r="B182" s="98" t="s">
        <v>171</v>
      </c>
      <c r="C182" s="100">
        <v>99</v>
      </c>
      <c r="D182" s="4" t="s">
        <v>25</v>
      </c>
      <c r="E182" s="6">
        <v>46168</v>
      </c>
      <c r="F182" s="12"/>
    </row>
    <row r="183" spans="1:6" x14ac:dyDescent="0.3">
      <c r="A183" s="103">
        <v>17195</v>
      </c>
      <c r="B183" s="98" t="s">
        <v>959</v>
      </c>
      <c r="C183" s="100">
        <v>192.59</v>
      </c>
      <c r="D183" s="4" t="s">
        <v>25</v>
      </c>
      <c r="E183" s="6">
        <v>46168</v>
      </c>
      <c r="F183" s="12"/>
    </row>
    <row r="184" spans="1:6" x14ac:dyDescent="0.3">
      <c r="A184" s="103">
        <v>17196</v>
      </c>
      <c r="B184" s="98" t="s">
        <v>960</v>
      </c>
      <c r="C184" s="100">
        <v>122.55</v>
      </c>
      <c r="D184" s="4" t="s">
        <v>25</v>
      </c>
      <c r="E184" s="6">
        <v>46168</v>
      </c>
      <c r="F184" s="12"/>
    </row>
    <row r="185" spans="1:6" x14ac:dyDescent="0.3">
      <c r="A185" s="103">
        <v>17197</v>
      </c>
      <c r="B185" s="98" t="s">
        <v>961</v>
      </c>
      <c r="C185" s="100">
        <v>137.75</v>
      </c>
      <c r="D185" s="4" t="s">
        <v>25</v>
      </c>
      <c r="E185" s="6">
        <v>46168</v>
      </c>
      <c r="F185" s="12"/>
    </row>
    <row r="186" spans="1:6" x14ac:dyDescent="0.3">
      <c r="A186" s="103">
        <v>17199</v>
      </c>
      <c r="B186" s="98" t="s">
        <v>962</v>
      </c>
      <c r="C186" s="100">
        <v>10.119999999999999</v>
      </c>
      <c r="D186" s="4" t="s">
        <v>25</v>
      </c>
      <c r="E186" s="6">
        <v>46168</v>
      </c>
      <c r="F186" s="12"/>
    </row>
    <row r="187" spans="1:6" x14ac:dyDescent="0.3">
      <c r="A187" s="103">
        <v>17200</v>
      </c>
      <c r="B187" s="98" t="s">
        <v>750</v>
      </c>
      <c r="C187" s="100">
        <v>63.58</v>
      </c>
      <c r="D187" s="4" t="s">
        <v>25</v>
      </c>
      <c r="E187" s="6">
        <v>46168</v>
      </c>
      <c r="F187" s="12"/>
    </row>
    <row r="188" spans="1:6" x14ac:dyDescent="0.3">
      <c r="A188" s="103">
        <v>17204</v>
      </c>
      <c r="B188" s="98" t="s">
        <v>958</v>
      </c>
      <c r="C188" s="100">
        <v>29690</v>
      </c>
      <c r="D188" s="9" t="s">
        <v>10</v>
      </c>
      <c r="E188" s="6">
        <v>46168</v>
      </c>
      <c r="F188" s="12"/>
    </row>
    <row r="189" spans="1:6" x14ac:dyDescent="0.3">
      <c r="A189" s="103">
        <v>17213</v>
      </c>
      <c r="B189" s="98" t="s">
        <v>963</v>
      </c>
      <c r="C189" s="100">
        <v>11565</v>
      </c>
      <c r="D189" s="9" t="s">
        <v>13</v>
      </c>
      <c r="E189" s="6">
        <v>46168</v>
      </c>
      <c r="F189" s="110" t="s">
        <v>964</v>
      </c>
    </row>
    <row r="190" spans="1:6" x14ac:dyDescent="0.3">
      <c r="A190" s="103">
        <v>17209</v>
      </c>
      <c r="B190" s="98" t="s">
        <v>965</v>
      </c>
      <c r="C190" s="100">
        <v>190.74</v>
      </c>
      <c r="D190" s="4" t="s">
        <v>25</v>
      </c>
      <c r="E190" s="6">
        <v>46168</v>
      </c>
      <c r="F190" s="12"/>
    </row>
    <row r="191" spans="1:6" x14ac:dyDescent="0.3">
      <c r="A191" s="103">
        <v>17211</v>
      </c>
      <c r="B191" s="98" t="s">
        <v>966</v>
      </c>
      <c r="C191" s="100">
        <v>63.58</v>
      </c>
      <c r="D191" s="4" t="s">
        <v>25</v>
      </c>
      <c r="E191" s="6">
        <v>46168</v>
      </c>
      <c r="F191" s="12"/>
    </row>
    <row r="192" spans="1:6" x14ac:dyDescent="0.3">
      <c r="A192" s="92">
        <v>17218</v>
      </c>
      <c r="B192" s="92" t="s">
        <v>967</v>
      </c>
      <c r="C192" s="94">
        <v>864</v>
      </c>
      <c r="D192" s="9" t="s">
        <v>16</v>
      </c>
      <c r="E192" s="6">
        <v>46168</v>
      </c>
      <c r="F192" s="12"/>
    </row>
    <row r="193" spans="1:6" x14ac:dyDescent="0.3">
      <c r="A193" s="92">
        <v>17222</v>
      </c>
      <c r="B193" s="92" t="s">
        <v>968</v>
      </c>
      <c r="C193" s="94">
        <v>251</v>
      </c>
      <c r="D193" s="9" t="s">
        <v>16</v>
      </c>
      <c r="E193" s="6">
        <v>46168</v>
      </c>
      <c r="F193" s="12"/>
    </row>
    <row r="194" spans="1:6" x14ac:dyDescent="0.3">
      <c r="A194" s="92">
        <v>17239</v>
      </c>
      <c r="B194" s="92" t="s">
        <v>969</v>
      </c>
      <c r="C194" s="94">
        <v>15990</v>
      </c>
      <c r="D194" s="9" t="s">
        <v>16</v>
      </c>
      <c r="E194" s="6">
        <v>46168</v>
      </c>
      <c r="F194" s="12" t="s">
        <v>739</v>
      </c>
    </row>
    <row r="195" spans="1:6" x14ac:dyDescent="0.3">
      <c r="A195" s="92">
        <v>17245</v>
      </c>
      <c r="B195" s="92" t="s">
        <v>970</v>
      </c>
      <c r="C195" s="94">
        <v>17979</v>
      </c>
      <c r="D195" s="9" t="s">
        <v>16</v>
      </c>
      <c r="E195" s="6">
        <v>46168</v>
      </c>
      <c r="F195" s="12" t="s">
        <v>739</v>
      </c>
    </row>
    <row r="196" spans="1:6" x14ac:dyDescent="0.3">
      <c r="A196" s="92">
        <v>17247</v>
      </c>
      <c r="B196" s="92" t="s">
        <v>971</v>
      </c>
      <c r="C196" s="94">
        <v>12255</v>
      </c>
      <c r="D196" s="9" t="s">
        <v>16</v>
      </c>
      <c r="E196" s="6">
        <v>46168</v>
      </c>
      <c r="F196" s="12" t="s">
        <v>451</v>
      </c>
    </row>
    <row r="197" spans="1:6" x14ac:dyDescent="0.3">
      <c r="A197" s="92">
        <v>17251</v>
      </c>
      <c r="B197" s="92" t="s">
        <v>542</v>
      </c>
      <c r="C197" s="94">
        <v>825</v>
      </c>
      <c r="D197" s="9" t="s">
        <v>10</v>
      </c>
      <c r="E197" s="6">
        <v>46168</v>
      </c>
      <c r="F197" s="12"/>
    </row>
    <row r="198" spans="1:6" x14ac:dyDescent="0.3">
      <c r="A198" s="92">
        <v>17256</v>
      </c>
      <c r="B198" s="92" t="s">
        <v>972</v>
      </c>
      <c r="C198" s="94">
        <v>5980</v>
      </c>
      <c r="D198" s="9" t="s">
        <v>13</v>
      </c>
      <c r="E198" s="6">
        <v>46168</v>
      </c>
      <c r="F198" s="12"/>
    </row>
    <row r="199" spans="1:6" x14ac:dyDescent="0.3">
      <c r="A199" s="92">
        <v>17258</v>
      </c>
      <c r="B199" s="92" t="s">
        <v>973</v>
      </c>
      <c r="C199" s="94">
        <v>5382</v>
      </c>
      <c r="D199" s="9" t="s">
        <v>16</v>
      </c>
      <c r="E199" s="6">
        <v>46169</v>
      </c>
      <c r="F199" s="12"/>
    </row>
    <row r="200" spans="1:6" x14ac:dyDescent="0.3">
      <c r="A200" s="92">
        <v>17259</v>
      </c>
      <c r="B200" s="92" t="s">
        <v>974</v>
      </c>
      <c r="C200" s="94">
        <v>9381.2000000000007</v>
      </c>
      <c r="D200" s="9" t="s">
        <v>16</v>
      </c>
      <c r="E200" s="6">
        <v>46169</v>
      </c>
      <c r="F200" s="12"/>
    </row>
    <row r="201" spans="1:6" x14ac:dyDescent="0.3">
      <c r="A201" s="92">
        <v>17246</v>
      </c>
      <c r="B201" s="92" t="s">
        <v>975</v>
      </c>
      <c r="C201" s="94">
        <v>1348.13</v>
      </c>
      <c r="D201" s="4" t="s">
        <v>25</v>
      </c>
      <c r="E201" s="6">
        <v>46169</v>
      </c>
      <c r="F201" s="92"/>
    </row>
    <row r="202" spans="1:6" x14ac:dyDescent="0.3">
      <c r="A202" s="92">
        <v>17248</v>
      </c>
      <c r="B202" s="92" t="s">
        <v>976</v>
      </c>
      <c r="C202" s="94">
        <v>15.78</v>
      </c>
      <c r="D202" s="4" t="s">
        <v>25</v>
      </c>
      <c r="E202" s="6">
        <v>46169</v>
      </c>
      <c r="F202" s="114"/>
    </row>
    <row r="203" spans="1:6" x14ac:dyDescent="0.3">
      <c r="A203" s="92">
        <v>17249</v>
      </c>
      <c r="B203" s="92" t="s">
        <v>977</v>
      </c>
      <c r="C203" s="94">
        <v>50.6</v>
      </c>
      <c r="D203" s="4" t="s">
        <v>25</v>
      </c>
      <c r="E203" s="6">
        <v>46169</v>
      </c>
      <c r="F203" s="92"/>
    </row>
    <row r="204" spans="1:6" x14ac:dyDescent="0.3">
      <c r="A204" s="92">
        <v>17254</v>
      </c>
      <c r="B204" s="92" t="s">
        <v>566</v>
      </c>
      <c r="C204" s="94">
        <v>192.59</v>
      </c>
      <c r="D204" s="4" t="s">
        <v>25</v>
      </c>
      <c r="E204" s="6">
        <v>46169</v>
      </c>
      <c r="F204" s="110"/>
    </row>
    <row r="205" spans="1:6" x14ac:dyDescent="0.3">
      <c r="A205" s="92">
        <v>17255</v>
      </c>
      <c r="B205" s="92" t="s">
        <v>231</v>
      </c>
      <c r="C205" s="94">
        <v>420</v>
      </c>
      <c r="D205" s="4" t="s">
        <v>25</v>
      </c>
      <c r="E205" s="6">
        <v>46169</v>
      </c>
      <c r="F205" s="92"/>
    </row>
    <row r="206" spans="1:6" x14ac:dyDescent="0.3">
      <c r="A206" s="92">
        <v>17257</v>
      </c>
      <c r="B206" s="92" t="s">
        <v>695</v>
      </c>
      <c r="C206" s="94">
        <v>254.32</v>
      </c>
      <c r="D206" s="4" t="s">
        <v>25</v>
      </c>
      <c r="E206" s="6">
        <v>46169</v>
      </c>
      <c r="F206" s="92"/>
    </row>
    <row r="207" spans="1:6" x14ac:dyDescent="0.3">
      <c r="A207" s="92">
        <v>17264</v>
      </c>
      <c r="B207" s="92" t="s">
        <v>978</v>
      </c>
      <c r="C207" s="94">
        <v>5450</v>
      </c>
      <c r="D207" s="9" t="s">
        <v>10</v>
      </c>
      <c r="E207" s="6">
        <v>46169</v>
      </c>
      <c r="F207" s="12"/>
    </row>
    <row r="208" spans="1:6" x14ac:dyDescent="0.3">
      <c r="A208" s="92">
        <v>17265</v>
      </c>
      <c r="B208" s="92" t="s">
        <v>693</v>
      </c>
      <c r="C208" s="94">
        <v>6555</v>
      </c>
      <c r="D208" s="4" t="s">
        <v>25</v>
      </c>
      <c r="E208" s="6">
        <v>46170</v>
      </c>
      <c r="F208" s="12"/>
    </row>
    <row r="209" spans="1:6" x14ac:dyDescent="0.3">
      <c r="A209" s="92">
        <v>17266</v>
      </c>
      <c r="B209" s="92" t="s">
        <v>592</v>
      </c>
      <c r="C209" s="94">
        <v>63.58</v>
      </c>
      <c r="D209" s="4" t="s">
        <v>25</v>
      </c>
      <c r="E209" s="6">
        <v>46170</v>
      </c>
      <c r="F209" s="12"/>
    </row>
    <row r="210" spans="1:6" x14ac:dyDescent="0.3">
      <c r="A210" s="92">
        <v>17267</v>
      </c>
      <c r="B210" s="92" t="s">
        <v>981</v>
      </c>
      <c r="C210" s="94">
        <v>317.91000000000003</v>
      </c>
      <c r="D210" s="4" t="s">
        <v>25</v>
      </c>
      <c r="E210" s="6">
        <v>46170</v>
      </c>
      <c r="F210" s="12"/>
    </row>
    <row r="211" spans="1:6" x14ac:dyDescent="0.3">
      <c r="A211" s="92">
        <v>17268</v>
      </c>
      <c r="B211" s="92" t="s">
        <v>982</v>
      </c>
      <c r="C211" s="94">
        <v>129</v>
      </c>
      <c r="D211" s="4" t="s">
        <v>25</v>
      </c>
      <c r="E211" s="6">
        <v>46170</v>
      </c>
      <c r="F211" s="12"/>
    </row>
    <row r="212" spans="1:6" x14ac:dyDescent="0.3">
      <c r="A212" s="92">
        <v>17271</v>
      </c>
      <c r="B212" s="92" t="s">
        <v>980</v>
      </c>
      <c r="C212" s="94">
        <v>15190</v>
      </c>
      <c r="D212" s="9" t="s">
        <v>10</v>
      </c>
      <c r="E212" s="6">
        <v>46170</v>
      </c>
      <c r="F212" s="12" t="s">
        <v>983</v>
      </c>
    </row>
    <row r="213" spans="1:6" x14ac:dyDescent="0.3">
      <c r="A213" s="92"/>
      <c r="B213" s="98"/>
      <c r="C213" s="100"/>
      <c r="D213" s="9"/>
      <c r="E213" s="6"/>
      <c r="F213" s="12"/>
    </row>
    <row r="214" spans="1:6" x14ac:dyDescent="0.3">
      <c r="A214" s="92"/>
      <c r="B214" s="98"/>
      <c r="C214" s="100"/>
      <c r="D214" s="9"/>
      <c r="E214" s="6"/>
      <c r="F214" s="12"/>
    </row>
    <row r="215" spans="1:6" x14ac:dyDescent="0.3">
      <c r="A215" s="92"/>
      <c r="B215" s="98"/>
      <c r="C215" s="100"/>
      <c r="D215" s="9"/>
      <c r="E215" s="6"/>
      <c r="F215" s="12"/>
    </row>
    <row r="216" spans="1:6" x14ac:dyDescent="0.3">
      <c r="A216" s="92"/>
      <c r="B216" s="98"/>
      <c r="C216" s="100"/>
      <c r="D216" s="9"/>
      <c r="E216" s="6"/>
      <c r="F216" s="12"/>
    </row>
    <row r="217" spans="1:6" x14ac:dyDescent="0.3">
      <c r="A217" s="92"/>
      <c r="B217" s="92"/>
      <c r="C217" s="94"/>
      <c r="D217" s="9"/>
      <c r="E217" s="6"/>
      <c r="F217" s="12"/>
    </row>
    <row r="218" spans="1:6" x14ac:dyDescent="0.3">
      <c r="A218" s="92"/>
      <c r="B218" s="92"/>
      <c r="C218" s="94"/>
      <c r="D218" s="9"/>
      <c r="E218" s="6"/>
      <c r="F218" s="12"/>
    </row>
    <row r="219" spans="1:6" x14ac:dyDescent="0.3">
      <c r="A219" s="92"/>
      <c r="B219" s="98"/>
      <c r="C219" s="100"/>
      <c r="D219" s="15"/>
      <c r="E219" s="6"/>
      <c r="F219" s="12"/>
    </row>
    <row r="220" spans="1:6" x14ac:dyDescent="0.3">
      <c r="A220" s="92"/>
      <c r="B220" s="98"/>
      <c r="C220" s="100"/>
      <c r="D220" s="9"/>
      <c r="E220" s="6"/>
      <c r="F220" s="12"/>
    </row>
    <row r="221" spans="1:6" x14ac:dyDescent="0.3">
      <c r="A221" s="92"/>
      <c r="B221" s="98"/>
      <c r="C221" s="100"/>
      <c r="D221" s="9"/>
      <c r="E221" s="6"/>
      <c r="F221" s="12"/>
    </row>
    <row r="222" spans="1:6" x14ac:dyDescent="0.3">
      <c r="A222" s="92"/>
      <c r="B222" s="98"/>
      <c r="C222" s="100"/>
      <c r="D222" s="9"/>
      <c r="E222" s="6"/>
      <c r="F222" s="12"/>
    </row>
    <row r="223" spans="1:6" x14ac:dyDescent="0.3">
      <c r="A223" s="92"/>
      <c r="B223" s="98"/>
      <c r="C223" s="100"/>
      <c r="D223" s="15"/>
      <c r="E223" s="6"/>
      <c r="F223" s="12"/>
    </row>
    <row r="224" spans="1:6" x14ac:dyDescent="0.3">
      <c r="A224" s="92"/>
      <c r="B224" s="98"/>
      <c r="C224" s="100"/>
      <c r="D224" s="9"/>
      <c r="E224" s="6"/>
      <c r="F224" s="12"/>
    </row>
    <row r="225" spans="1:6" x14ac:dyDescent="0.3">
      <c r="A225" s="92"/>
      <c r="B225" s="98"/>
      <c r="C225" s="100"/>
      <c r="D225" s="15"/>
      <c r="E225" s="6"/>
      <c r="F225" s="12"/>
    </row>
    <row r="226" spans="1:6" x14ac:dyDescent="0.3">
      <c r="A226" s="92"/>
      <c r="B226" s="98"/>
      <c r="C226" s="100"/>
      <c r="D226" s="15"/>
      <c r="E226" s="6"/>
      <c r="F226" s="12"/>
    </row>
    <row r="227" spans="1:6" x14ac:dyDescent="0.3">
      <c r="A227" s="92"/>
      <c r="B227" s="98"/>
      <c r="C227" s="100"/>
      <c r="D227" s="9"/>
      <c r="E227" s="6"/>
      <c r="F227" s="12"/>
    </row>
    <row r="228" spans="1:6" x14ac:dyDescent="0.3">
      <c r="A228" s="92"/>
      <c r="B228" s="98"/>
      <c r="C228" s="100"/>
      <c r="D228" s="9"/>
      <c r="E228" s="6"/>
      <c r="F228" s="12"/>
    </row>
    <row r="229" spans="1:6" x14ac:dyDescent="0.3">
      <c r="A229" s="92"/>
      <c r="B229" s="98"/>
      <c r="C229" s="100"/>
      <c r="D229" s="9"/>
      <c r="E229" s="6"/>
      <c r="F229" s="12"/>
    </row>
    <row r="230" spans="1:6" x14ac:dyDescent="0.3">
      <c r="A230" s="92"/>
      <c r="B230" s="98"/>
      <c r="C230" s="100"/>
      <c r="D230" s="15"/>
      <c r="E230" s="6"/>
      <c r="F230" s="12"/>
    </row>
    <row r="231" spans="1:6" x14ac:dyDescent="0.3">
      <c r="A231" s="92"/>
      <c r="B231" s="98"/>
      <c r="C231" s="100"/>
      <c r="D231" s="15"/>
      <c r="E231" s="6"/>
      <c r="F231" s="12"/>
    </row>
    <row r="232" spans="1:6" x14ac:dyDescent="0.3">
      <c r="A232" s="92"/>
      <c r="B232" s="98"/>
      <c r="C232" s="100"/>
      <c r="D232" s="9"/>
      <c r="E232" s="6"/>
      <c r="F232" s="12"/>
    </row>
    <row r="233" spans="1:6" x14ac:dyDescent="0.3">
      <c r="A233" s="92"/>
      <c r="B233" s="98"/>
      <c r="C233" s="100"/>
      <c r="D233" s="9"/>
      <c r="E233" s="6"/>
      <c r="F233" s="12"/>
    </row>
    <row r="234" spans="1:6" x14ac:dyDescent="0.3">
      <c r="A234" s="92"/>
      <c r="B234" s="98"/>
      <c r="C234" s="100"/>
      <c r="D234" s="9"/>
      <c r="E234" s="6"/>
      <c r="F234" s="12"/>
    </row>
    <row r="235" spans="1:6" x14ac:dyDescent="0.3">
      <c r="A235" s="92"/>
      <c r="B235" s="98"/>
      <c r="C235" s="100"/>
      <c r="D235" s="100"/>
      <c r="E235" s="6"/>
      <c r="F235" s="12"/>
    </row>
    <row r="236" spans="1:6" x14ac:dyDescent="0.3">
      <c r="A236" s="92"/>
      <c r="B236" s="98"/>
      <c r="C236" s="100"/>
      <c r="D236" s="9"/>
      <c r="E236" s="6"/>
      <c r="F236" s="12"/>
    </row>
    <row r="237" spans="1:6" x14ac:dyDescent="0.3">
      <c r="A237" s="92"/>
      <c r="B237" s="98"/>
      <c r="C237" s="100"/>
      <c r="D237" s="9"/>
      <c r="E237" s="6"/>
      <c r="F237" s="12"/>
    </row>
    <row r="238" spans="1:6" x14ac:dyDescent="0.3">
      <c r="A238" s="92"/>
      <c r="B238" s="98"/>
      <c r="C238" s="100"/>
      <c r="D238" s="9"/>
      <c r="E238" s="6"/>
      <c r="F238" s="12"/>
    </row>
    <row r="239" spans="1:6" x14ac:dyDescent="0.3">
      <c r="A239" s="92"/>
      <c r="B239" s="98"/>
      <c r="C239" s="100"/>
      <c r="D239" s="9"/>
      <c r="E239" s="6"/>
      <c r="F239" s="12"/>
    </row>
    <row r="240" spans="1:6" x14ac:dyDescent="0.3">
      <c r="A240" s="92"/>
      <c r="B240" s="98"/>
      <c r="C240" s="100"/>
      <c r="D240" s="9"/>
      <c r="E240" s="6"/>
      <c r="F240" s="12"/>
    </row>
    <row r="241" spans="1:6" x14ac:dyDescent="0.3">
      <c r="A241" s="92"/>
      <c r="B241" s="98"/>
      <c r="C241" s="100"/>
      <c r="D241" s="9"/>
      <c r="E241" s="6"/>
      <c r="F241" s="12"/>
    </row>
    <row r="242" spans="1:6" x14ac:dyDescent="0.3">
      <c r="A242" s="92"/>
      <c r="B242" s="98"/>
      <c r="C242" s="100"/>
      <c r="D242" s="9"/>
      <c r="E242" s="6"/>
      <c r="F242" s="12"/>
    </row>
    <row r="243" spans="1:6" x14ac:dyDescent="0.3">
      <c r="A243" s="103"/>
      <c r="B243" s="98"/>
      <c r="C243" s="100"/>
      <c r="D243" s="15"/>
      <c r="E243" s="6"/>
      <c r="F243" s="12"/>
    </row>
    <row r="244" spans="1:6" x14ac:dyDescent="0.3">
      <c r="A244" s="103"/>
      <c r="B244" s="98"/>
      <c r="C244" s="100"/>
      <c r="D244" s="9"/>
      <c r="E244" s="6"/>
      <c r="F244" s="12"/>
    </row>
    <row r="245" spans="1:6" x14ac:dyDescent="0.3">
      <c r="A245" s="103"/>
      <c r="B245" s="98"/>
      <c r="C245" s="100"/>
      <c r="D245" s="15"/>
      <c r="E245" s="17"/>
      <c r="F245" s="109"/>
    </row>
    <row r="246" spans="1:6" x14ac:dyDescent="0.3">
      <c r="A246" s="103"/>
      <c r="B246" s="98"/>
      <c r="C246" s="100"/>
      <c r="D246" s="9"/>
      <c r="E246" s="17"/>
      <c r="F246" s="12"/>
    </row>
    <row r="247" spans="1:6" x14ac:dyDescent="0.3">
      <c r="A247" s="103"/>
      <c r="B247" s="98"/>
      <c r="C247" s="100"/>
      <c r="D247" s="15"/>
      <c r="E247" s="17"/>
      <c r="F247" s="12"/>
    </row>
    <row r="248" spans="1:6" x14ac:dyDescent="0.3">
      <c r="A248" s="103"/>
      <c r="B248" s="98"/>
      <c r="C248" s="100"/>
      <c r="D248" s="15"/>
      <c r="E248" s="17"/>
      <c r="F248" s="12"/>
    </row>
    <row r="249" spans="1:6" x14ac:dyDescent="0.3">
      <c r="A249" s="103"/>
      <c r="B249" s="98"/>
      <c r="C249" s="100"/>
      <c r="D249" s="15"/>
      <c r="E249" s="17"/>
      <c r="F249" s="12"/>
    </row>
    <row r="250" spans="1:6" x14ac:dyDescent="0.3">
      <c r="A250" s="103"/>
      <c r="B250" s="98"/>
      <c r="C250" s="100"/>
      <c r="D250" s="15"/>
      <c r="E250" s="17"/>
      <c r="F250" s="12"/>
    </row>
    <row r="251" spans="1:6" x14ac:dyDescent="0.3">
      <c r="A251" s="103"/>
      <c r="B251" s="98"/>
      <c r="C251" s="100"/>
      <c r="D251" s="15"/>
      <c r="E251" s="17"/>
      <c r="F251" s="12"/>
    </row>
    <row r="252" spans="1:6" x14ac:dyDescent="0.3">
      <c r="A252" s="103"/>
      <c r="B252" s="98"/>
      <c r="C252" s="100"/>
      <c r="D252" s="9"/>
      <c r="E252" s="17"/>
      <c r="F252" s="12"/>
    </row>
    <row r="253" spans="1:6" x14ac:dyDescent="0.3">
      <c r="A253" s="103"/>
      <c r="B253" s="98"/>
      <c r="C253" s="100"/>
      <c r="D253" s="9"/>
      <c r="E253" s="17"/>
      <c r="F253" s="12"/>
    </row>
    <row r="254" spans="1:6" x14ac:dyDescent="0.3">
      <c r="A254" s="103"/>
      <c r="B254" s="98"/>
      <c r="C254" s="100"/>
      <c r="D254" s="9"/>
      <c r="E254" s="17"/>
      <c r="F254" s="12"/>
    </row>
    <row r="255" spans="1:6" x14ac:dyDescent="0.3">
      <c r="A255" s="103"/>
      <c r="B255" s="98"/>
      <c r="C255" s="100"/>
      <c r="D255" s="9"/>
      <c r="E255" s="17"/>
      <c r="F255" s="12"/>
    </row>
    <row r="256" spans="1:6" x14ac:dyDescent="0.3">
      <c r="A256" s="103"/>
      <c r="B256" s="98"/>
      <c r="C256" s="100"/>
      <c r="D256" s="9"/>
      <c r="E256" s="17"/>
      <c r="F256" s="12"/>
    </row>
    <row r="257" spans="1:6" x14ac:dyDescent="0.3">
      <c r="A257" s="103"/>
      <c r="B257" s="98"/>
      <c r="C257" s="100"/>
      <c r="D257" s="9"/>
      <c r="E257" s="17"/>
      <c r="F257" s="12"/>
    </row>
    <row r="258" spans="1:6" x14ac:dyDescent="0.3">
      <c r="A258" s="103"/>
      <c r="B258" s="98"/>
      <c r="C258" s="100"/>
      <c r="D258" s="9"/>
      <c r="E258" s="17"/>
      <c r="F258" s="12"/>
    </row>
    <row r="259" spans="1:6" x14ac:dyDescent="0.3">
      <c r="A259" s="103"/>
      <c r="B259" s="98"/>
      <c r="C259" s="100"/>
      <c r="D259" s="15"/>
      <c r="E259" s="17"/>
      <c r="F259" s="12"/>
    </row>
    <row r="260" spans="1:6" x14ac:dyDescent="0.3">
      <c r="A260" s="103"/>
      <c r="B260" s="98"/>
      <c r="C260" s="100"/>
      <c r="D260" s="15"/>
      <c r="E260" s="17"/>
      <c r="F260" s="12"/>
    </row>
    <row r="261" spans="1:6" x14ac:dyDescent="0.3">
      <c r="A261" s="103"/>
      <c r="B261" s="98"/>
      <c r="C261" s="100"/>
      <c r="D261" s="15"/>
      <c r="E261" s="17"/>
      <c r="F261" s="12"/>
    </row>
    <row r="262" spans="1:6" x14ac:dyDescent="0.3">
      <c r="A262" s="103"/>
      <c r="B262" s="98"/>
      <c r="C262" s="100"/>
      <c r="D262" s="15"/>
      <c r="E262" s="17"/>
      <c r="F262" s="12"/>
    </row>
    <row r="263" spans="1:6" x14ac:dyDescent="0.3">
      <c r="A263" s="103"/>
      <c r="B263" s="98"/>
      <c r="C263" s="100"/>
      <c r="D263" s="15"/>
      <c r="E263" s="17"/>
      <c r="F263" s="12"/>
    </row>
    <row r="264" spans="1:6" x14ac:dyDescent="0.3">
      <c r="A264" s="103"/>
      <c r="B264" s="98"/>
      <c r="C264" s="100"/>
      <c r="D264" s="15"/>
      <c r="E264" s="17"/>
      <c r="F264" s="12"/>
    </row>
    <row r="265" spans="1:6" x14ac:dyDescent="0.3">
      <c r="A265" s="92"/>
      <c r="B265" s="92"/>
      <c r="C265" s="94"/>
      <c r="D265" s="9"/>
      <c r="E265" s="11"/>
      <c r="F265" s="12"/>
    </row>
    <row r="266" spans="1:6" x14ac:dyDescent="0.3">
      <c r="A266" s="92"/>
      <c r="B266" s="92"/>
      <c r="C266" s="94"/>
      <c r="D266" s="15"/>
      <c r="E266" s="11"/>
      <c r="F266" s="109"/>
    </row>
    <row r="267" spans="1:6" x14ac:dyDescent="0.3">
      <c r="A267" s="103"/>
      <c r="B267" s="98"/>
      <c r="C267" s="100"/>
      <c r="D267" s="15"/>
      <c r="E267" s="11"/>
      <c r="F267" s="12"/>
    </row>
    <row r="268" spans="1:6" x14ac:dyDescent="0.3">
      <c r="A268" s="103"/>
      <c r="B268" s="98"/>
      <c r="C268" s="100"/>
      <c r="D268" s="15"/>
      <c r="E268" s="11"/>
      <c r="F268" s="12"/>
    </row>
    <row r="269" spans="1:6" x14ac:dyDescent="0.3">
      <c r="A269" s="103"/>
      <c r="B269" s="98"/>
      <c r="C269" s="100"/>
      <c r="D269" s="15"/>
      <c r="E269" s="17"/>
      <c r="F269" s="12"/>
    </row>
    <row r="270" spans="1:6" x14ac:dyDescent="0.3">
      <c r="A270" s="103"/>
      <c r="B270" s="98"/>
      <c r="C270" s="100"/>
      <c r="D270" s="15"/>
      <c r="E270" s="17"/>
      <c r="F270" s="12"/>
    </row>
    <row r="271" spans="1:6" x14ac:dyDescent="0.3">
      <c r="A271" s="103"/>
      <c r="B271" s="98"/>
      <c r="C271" s="100"/>
      <c r="D271" s="15"/>
      <c r="E271" s="17"/>
      <c r="F271" s="12"/>
    </row>
    <row r="272" spans="1:6" ht="15" thickBot="1" x14ac:dyDescent="0.35">
      <c r="A272" s="103"/>
      <c r="B272" s="98"/>
      <c r="C272" s="100"/>
      <c r="D272" s="15"/>
      <c r="E272" s="17"/>
      <c r="F272" s="12"/>
    </row>
    <row r="273" spans="1:6" ht="15" thickBot="1" x14ac:dyDescent="0.35">
      <c r="A273" s="138" t="s">
        <v>6</v>
      </c>
      <c r="B273" s="139"/>
      <c r="C273" s="93">
        <f>SUM(C2:C272)</f>
        <v>1151105.1490000002</v>
      </c>
      <c r="D273" s="19"/>
      <c r="E273" s="20"/>
      <c r="F273" s="3"/>
    </row>
    <row r="274" spans="1:6" ht="15" thickBot="1" x14ac:dyDescent="0.35">
      <c r="A274" s="138" t="s">
        <v>8</v>
      </c>
      <c r="B274" s="139"/>
      <c r="C274" s="93">
        <v>1232000</v>
      </c>
      <c r="D274" s="38">
        <v>1750000</v>
      </c>
      <c r="E274" s="18"/>
      <c r="F274" s="3"/>
    </row>
    <row r="275" spans="1:6" ht="15" thickBot="1" x14ac:dyDescent="0.35">
      <c r="A275" s="138" t="s">
        <v>7</v>
      </c>
      <c r="B275" s="139"/>
      <c r="C275" s="93">
        <f>C274-C273</f>
        <v>80894.850999999791</v>
      </c>
      <c r="D275" s="38">
        <f>D274-C273</f>
        <v>598894.85099999979</v>
      </c>
      <c r="E275" s="18"/>
      <c r="F275" s="3"/>
    </row>
  </sheetData>
  <autoFilter ref="A1:F242" xr:uid="{AFF50047-F45E-4826-B627-9667DEC3EC94}">
    <sortState xmlns:xlrd2="http://schemas.microsoft.com/office/spreadsheetml/2017/richdata2" ref="A2:F262">
      <sortCondition ref="E1:E242"/>
    </sortState>
  </autoFilter>
  <mergeCells count="5">
    <mergeCell ref="M7:N7"/>
    <mergeCell ref="O7:P7"/>
    <mergeCell ref="A273:B273"/>
    <mergeCell ref="A274:B274"/>
    <mergeCell ref="A275:B275"/>
  </mergeCells>
  <conditionalFormatting sqref="I9:I28">
    <cfRule type="cellIs" dxfId="15" priority="2" operator="equal">
      <formula>0</formula>
    </cfRule>
    <cfRule type="cellIs" dxfId="14" priority="3" operator="lessThan">
      <formula>87500</formula>
    </cfRule>
    <cfRule type="cellIs" dxfId="13" priority="4" operator="greaterThan">
      <formula>87500</formula>
    </cfRule>
  </conditionalFormatting>
  <conditionalFormatting sqref="L9">
    <cfRule type="cellIs" dxfId="12" priority="5" operator="lessThan">
      <formula>0</formula>
    </cfRule>
    <cfRule type="cellIs" dxfId="11" priority="6" operator="greaterThan">
      <formula>0</formula>
    </cfRule>
  </conditionalFormatting>
  <conditionalFormatting sqref="M21:P28">
    <cfRule type="cellIs" dxfId="1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9:I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7DA-3D44-4DC1-A7B8-5219E5DF434A}">
  <dimension ref="A1:L275"/>
  <sheetViews>
    <sheetView zoomScaleNormal="100" workbookViewId="0">
      <pane ySplit="1" topLeftCell="A17" activePane="bottomLeft" state="frozen"/>
      <selection activeCell="B1" sqref="B1"/>
      <selection pane="bottomLeft" activeCell="E45" sqref="A45:E45"/>
    </sheetView>
  </sheetViews>
  <sheetFormatPr defaultColWidth="9" defaultRowHeight="14.4" x14ac:dyDescent="0.3"/>
  <cols>
    <col min="1" max="1" width="18" style="21" bestFit="1" customWidth="1"/>
    <col min="2" max="2" width="31.44140625" style="21" customWidth="1"/>
    <col min="3" max="3" width="15.6640625" style="95" customWidth="1"/>
    <col min="4" max="4" width="19.33203125" customWidth="1"/>
    <col min="5" max="5" width="16.109375" style="22" customWidth="1"/>
    <col min="6" max="6" width="53.6640625" customWidth="1"/>
    <col min="7" max="7" width="18" customWidth="1"/>
    <col min="8" max="8" width="15.6640625" bestFit="1" customWidth="1"/>
    <col min="9" max="9" width="16.5546875" customWidth="1"/>
    <col min="10" max="10" width="15.88671875" bestFit="1" customWidth="1"/>
    <col min="11" max="11" width="17.88671875" customWidth="1"/>
    <col min="12" max="12" width="17.6640625" customWidth="1"/>
  </cols>
  <sheetData>
    <row r="1" spans="1:12" ht="15" thickBot="1" x14ac:dyDescent="0.35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5">
        <f>SUM(C2:C272)</f>
        <v>1446739.8299999998</v>
      </c>
      <c r="J1" s="75" t="s">
        <v>8</v>
      </c>
      <c r="K1" s="75" t="s">
        <v>724</v>
      </c>
    </row>
    <row r="2" spans="1:12" ht="15" thickBot="1" x14ac:dyDescent="0.35">
      <c r="A2" s="104">
        <v>0</v>
      </c>
      <c r="B2" s="96" t="s">
        <v>635</v>
      </c>
      <c r="C2" s="99">
        <v>42358.9</v>
      </c>
      <c r="D2" s="4"/>
      <c r="E2" s="6">
        <v>46113</v>
      </c>
      <c r="F2" s="7" t="s">
        <v>636</v>
      </c>
      <c r="G2" s="80" t="s">
        <v>8</v>
      </c>
      <c r="H2" s="85">
        <v>1913000</v>
      </c>
      <c r="I2" s="111">
        <v>2000000</v>
      </c>
      <c r="J2" s="112">
        <f>SUM(H1/H2)</f>
        <v>0.75626755358076314</v>
      </c>
      <c r="K2" s="112">
        <f>SUM(H1/I2)</f>
        <v>0.72336991499999992</v>
      </c>
    </row>
    <row r="3" spans="1:12" ht="15" thickBot="1" x14ac:dyDescent="0.35">
      <c r="A3" s="104">
        <v>16031</v>
      </c>
      <c r="B3" s="96" t="s">
        <v>609</v>
      </c>
      <c r="C3" s="99">
        <v>63.58</v>
      </c>
      <c r="D3" s="4" t="s">
        <v>25</v>
      </c>
      <c r="E3" s="6">
        <v>46113</v>
      </c>
      <c r="F3" s="7"/>
      <c r="G3" s="79" t="s">
        <v>7</v>
      </c>
      <c r="H3" s="85">
        <f>H2-H1</f>
        <v>466260.17000000016</v>
      </c>
      <c r="I3" s="84">
        <f>I2-H1</f>
        <v>553260.17000000016</v>
      </c>
    </row>
    <row r="4" spans="1:12" ht="15" thickBot="1" x14ac:dyDescent="0.35">
      <c r="A4" s="104">
        <v>16039</v>
      </c>
      <c r="B4" s="96" t="s">
        <v>610</v>
      </c>
      <c r="C4" s="99">
        <v>45.15</v>
      </c>
      <c r="D4" s="4" t="s">
        <v>25</v>
      </c>
      <c r="E4" s="6">
        <v>46113</v>
      </c>
      <c r="F4" s="7"/>
      <c r="G4" s="81" t="s">
        <v>14</v>
      </c>
      <c r="H4" s="37">
        <v>95650</v>
      </c>
      <c r="I4" s="81" t="s">
        <v>682</v>
      </c>
    </row>
    <row r="5" spans="1:12" ht="15" thickBot="1" x14ac:dyDescent="0.35">
      <c r="A5" s="101">
        <v>16061</v>
      </c>
      <c r="B5" s="92" t="s">
        <v>508</v>
      </c>
      <c r="C5" s="94">
        <v>345</v>
      </c>
      <c r="D5" s="4" t="s">
        <v>25</v>
      </c>
      <c r="E5" s="6">
        <v>46113</v>
      </c>
      <c r="F5" s="12"/>
      <c r="G5" s="79" t="s">
        <v>795</v>
      </c>
      <c r="H5" s="91" cm="1">
        <f t="array" ref="H5">SUM(I9:I28/20)</f>
        <v>72336.991500000004</v>
      </c>
    </row>
    <row r="6" spans="1:12" ht="15" thickBot="1" x14ac:dyDescent="0.35">
      <c r="A6" s="101">
        <v>16070</v>
      </c>
      <c r="B6" s="92" t="s">
        <v>611</v>
      </c>
      <c r="C6" s="94">
        <v>540</v>
      </c>
      <c r="D6" s="4" t="s">
        <v>16</v>
      </c>
      <c r="E6" s="6">
        <v>46113</v>
      </c>
      <c r="F6" s="12"/>
      <c r="H6" s="13"/>
    </row>
    <row r="7" spans="1:12" ht="15" thickBot="1" x14ac:dyDescent="0.35">
      <c r="A7" s="101">
        <v>16065</v>
      </c>
      <c r="B7" s="92" t="s">
        <v>612</v>
      </c>
      <c r="C7" s="94">
        <v>26910</v>
      </c>
      <c r="D7" s="9" t="s">
        <v>16</v>
      </c>
      <c r="E7" s="6">
        <v>46113</v>
      </c>
      <c r="F7" s="12"/>
      <c r="H7" s="75" t="s">
        <v>338</v>
      </c>
    </row>
    <row r="8" spans="1:12" ht="15" thickBot="1" x14ac:dyDescent="0.35">
      <c r="A8" s="101">
        <v>16071</v>
      </c>
      <c r="B8" s="92" t="s">
        <v>221</v>
      </c>
      <c r="C8" s="94">
        <v>977.9</v>
      </c>
      <c r="D8" s="4" t="s">
        <v>16</v>
      </c>
      <c r="E8" s="6">
        <v>46113</v>
      </c>
      <c r="F8" s="12"/>
      <c r="H8" s="74" t="s">
        <v>339</v>
      </c>
      <c r="I8" s="75" t="s">
        <v>340</v>
      </c>
      <c r="J8" s="81" t="s">
        <v>14</v>
      </c>
      <c r="K8" s="88" t="s">
        <v>378</v>
      </c>
      <c r="L8" s="87" t="s">
        <v>504</v>
      </c>
    </row>
    <row r="9" spans="1:12" ht="15" thickBot="1" x14ac:dyDescent="0.35">
      <c r="A9" s="101">
        <v>16072</v>
      </c>
      <c r="B9" s="92" t="s">
        <v>613</v>
      </c>
      <c r="C9" s="94">
        <v>990</v>
      </c>
      <c r="D9" s="4" t="s">
        <v>16</v>
      </c>
      <c r="E9" s="6">
        <v>46113</v>
      </c>
      <c r="F9" s="12"/>
      <c r="H9" s="71">
        <v>1</v>
      </c>
      <c r="I9" s="76">
        <f>SUM(C2:C9)</f>
        <v>72230.53</v>
      </c>
      <c r="J9" s="37">
        <v>95650</v>
      </c>
      <c r="K9" s="89">
        <f>SUM(I9-J9)</f>
        <v>-23419.47</v>
      </c>
      <c r="L9" s="90">
        <f>SUM(K9:K28)</f>
        <v>-466260.17</v>
      </c>
    </row>
    <row r="10" spans="1:12" ht="15" thickBot="1" x14ac:dyDescent="0.35">
      <c r="A10" s="104">
        <v>16074</v>
      </c>
      <c r="B10" s="96" t="s">
        <v>614</v>
      </c>
      <c r="C10" s="99">
        <v>63.58</v>
      </c>
      <c r="D10" s="4" t="s">
        <v>25</v>
      </c>
      <c r="E10" s="6">
        <v>46114</v>
      </c>
      <c r="F10" s="12"/>
      <c r="H10" s="72">
        <v>2</v>
      </c>
      <c r="I10" s="77">
        <f>SUM(C10:C23)</f>
        <v>70205.290000000008</v>
      </c>
      <c r="J10" s="37">
        <v>95650</v>
      </c>
      <c r="K10" s="53">
        <f>SUM(I10-J10)</f>
        <v>-25444.709999999992</v>
      </c>
    </row>
    <row r="11" spans="1:12" ht="15" thickBot="1" x14ac:dyDescent="0.35">
      <c r="A11" s="104">
        <v>16075</v>
      </c>
      <c r="B11" s="96" t="s">
        <v>98</v>
      </c>
      <c r="C11" s="99">
        <v>45.15</v>
      </c>
      <c r="D11" s="4" t="s">
        <v>25</v>
      </c>
      <c r="E11" s="6">
        <v>46114</v>
      </c>
      <c r="F11" s="12"/>
      <c r="H11" s="72">
        <v>6</v>
      </c>
      <c r="I11" s="77">
        <f>SUM(C24:C33)</f>
        <v>117730.14</v>
      </c>
      <c r="J11" s="37">
        <v>95650</v>
      </c>
      <c r="K11" s="53">
        <f>SUM(I11-J11)</f>
        <v>22080.14</v>
      </c>
    </row>
    <row r="12" spans="1:12" ht="15" thickBot="1" x14ac:dyDescent="0.35">
      <c r="A12" s="104">
        <v>16076</v>
      </c>
      <c r="B12" s="96" t="s">
        <v>615</v>
      </c>
      <c r="C12" s="99">
        <v>198.55</v>
      </c>
      <c r="D12" s="4" t="s">
        <v>25</v>
      </c>
      <c r="E12" s="6">
        <v>46114</v>
      </c>
      <c r="F12" s="12"/>
      <c r="H12" s="72">
        <v>7</v>
      </c>
      <c r="I12" s="77">
        <f>SUM(C34:C48)</f>
        <v>72185.899999999994</v>
      </c>
      <c r="J12" s="37">
        <v>95650</v>
      </c>
      <c r="K12" s="53">
        <f>SUM(I12-J12)</f>
        <v>-23464.100000000006</v>
      </c>
    </row>
    <row r="13" spans="1:12" ht="15" thickBot="1" x14ac:dyDescent="0.35">
      <c r="A13" s="104">
        <v>16077</v>
      </c>
      <c r="B13" s="96" t="s">
        <v>616</v>
      </c>
      <c r="C13" s="99">
        <v>9405</v>
      </c>
      <c r="D13" s="4" t="s">
        <v>25</v>
      </c>
      <c r="E13" s="6">
        <v>46114</v>
      </c>
      <c r="F13" s="12"/>
      <c r="H13" s="72">
        <v>8</v>
      </c>
      <c r="I13" s="77">
        <f>SUM(C49:C61)</f>
        <v>75306.790000000008</v>
      </c>
      <c r="J13" s="37">
        <v>95650</v>
      </c>
      <c r="K13" s="53">
        <f t="shared" ref="K13:K16" si="0">SUM(I13-J13)</f>
        <v>-20343.209999999992</v>
      </c>
    </row>
    <row r="14" spans="1:12" ht="15" thickBot="1" x14ac:dyDescent="0.35">
      <c r="A14" s="104">
        <v>16078</v>
      </c>
      <c r="B14" s="96" t="s">
        <v>617</v>
      </c>
      <c r="C14" s="99">
        <v>63.58</v>
      </c>
      <c r="D14" s="4" t="s">
        <v>25</v>
      </c>
      <c r="E14" s="6">
        <v>46114</v>
      </c>
      <c r="F14" s="12"/>
      <c r="H14" s="72">
        <v>9</v>
      </c>
      <c r="I14" s="77">
        <f>SUM(C62:C70)</f>
        <v>71991.709999999992</v>
      </c>
      <c r="J14" s="37">
        <v>95650</v>
      </c>
      <c r="K14" s="53">
        <f t="shared" si="0"/>
        <v>-23658.290000000008</v>
      </c>
    </row>
    <row r="15" spans="1:12" ht="15" thickBot="1" x14ac:dyDescent="0.35">
      <c r="A15" s="104">
        <v>16079</v>
      </c>
      <c r="B15" s="96" t="s">
        <v>618</v>
      </c>
      <c r="C15" s="99">
        <v>9758.68</v>
      </c>
      <c r="D15" s="4" t="s">
        <v>25</v>
      </c>
      <c r="E15" s="6">
        <v>46114</v>
      </c>
      <c r="F15" s="12"/>
      <c r="H15" s="72">
        <v>10</v>
      </c>
      <c r="I15" s="77">
        <f>SUM(C71:C72)</f>
        <v>5242.2</v>
      </c>
      <c r="J15" s="37">
        <v>95650</v>
      </c>
      <c r="K15" s="53">
        <f t="shared" si="0"/>
        <v>-90407.8</v>
      </c>
    </row>
    <row r="16" spans="1:12" ht="15" thickBot="1" x14ac:dyDescent="0.35">
      <c r="A16" s="104">
        <v>16080</v>
      </c>
      <c r="B16" s="96" t="s">
        <v>548</v>
      </c>
      <c r="C16" s="99">
        <v>190.74</v>
      </c>
      <c r="D16" s="4" t="s">
        <v>25</v>
      </c>
      <c r="E16" s="6">
        <v>46114</v>
      </c>
      <c r="F16" s="12"/>
      <c r="H16" s="72">
        <v>13</v>
      </c>
      <c r="I16" s="77">
        <f>SUM(C73:C79)</f>
        <v>66383.850000000006</v>
      </c>
      <c r="J16" s="37">
        <v>95650</v>
      </c>
      <c r="K16" s="53">
        <f t="shared" si="0"/>
        <v>-29266.149999999994</v>
      </c>
    </row>
    <row r="17" spans="1:11" ht="15" thickBot="1" x14ac:dyDescent="0.35">
      <c r="A17" s="104">
        <v>16082</v>
      </c>
      <c r="B17" s="96" t="s">
        <v>619</v>
      </c>
      <c r="C17" s="99">
        <v>82.01</v>
      </c>
      <c r="D17" s="4" t="s">
        <v>25</v>
      </c>
      <c r="E17" s="6">
        <v>46114</v>
      </c>
      <c r="F17" s="12"/>
      <c r="H17" s="72">
        <v>14</v>
      </c>
      <c r="I17" s="77">
        <f>SUM(C80:C83)</f>
        <v>27354.58</v>
      </c>
      <c r="J17" s="37">
        <v>95650</v>
      </c>
      <c r="K17" s="53">
        <f t="shared" ref="K17:K21" si="1">SUM(I17-J17)</f>
        <v>-68295.42</v>
      </c>
    </row>
    <row r="18" spans="1:11" ht="15" thickBot="1" x14ac:dyDescent="0.35">
      <c r="A18" s="104">
        <v>16084</v>
      </c>
      <c r="B18" s="96" t="s">
        <v>31</v>
      </c>
      <c r="C18" s="99">
        <v>799</v>
      </c>
      <c r="D18" s="4" t="s">
        <v>10</v>
      </c>
      <c r="E18" s="6">
        <v>46114</v>
      </c>
      <c r="F18" s="12"/>
      <c r="H18" s="72">
        <v>15</v>
      </c>
      <c r="I18" s="77">
        <f>SUM(C84:C90)</f>
        <v>51230</v>
      </c>
      <c r="J18" s="37">
        <v>95650</v>
      </c>
      <c r="K18" s="53">
        <f t="shared" si="1"/>
        <v>-44420</v>
      </c>
    </row>
    <row r="19" spans="1:11" ht="15" thickBot="1" x14ac:dyDescent="0.35">
      <c r="A19" s="101">
        <v>16086</v>
      </c>
      <c r="B19" s="92" t="s">
        <v>620</v>
      </c>
      <c r="C19" s="94">
        <v>135</v>
      </c>
      <c r="D19" s="4" t="s">
        <v>16</v>
      </c>
      <c r="E19" s="6">
        <v>46114</v>
      </c>
      <c r="F19" s="12"/>
      <c r="H19" s="72">
        <v>16</v>
      </c>
      <c r="I19" s="77">
        <f>SUM(C91:C104)</f>
        <v>54206.590000000004</v>
      </c>
      <c r="J19" s="37">
        <v>95650</v>
      </c>
      <c r="K19" s="53">
        <f t="shared" si="1"/>
        <v>-41443.409999999996</v>
      </c>
    </row>
    <row r="20" spans="1:11" ht="15" thickBot="1" x14ac:dyDescent="0.35">
      <c r="A20" s="101">
        <v>16090</v>
      </c>
      <c r="B20" s="92" t="s">
        <v>621</v>
      </c>
      <c r="C20" s="94">
        <v>11565</v>
      </c>
      <c r="D20" s="4" t="s">
        <v>13</v>
      </c>
      <c r="E20" s="6">
        <v>46114</v>
      </c>
      <c r="F20" s="12" t="s">
        <v>622</v>
      </c>
      <c r="H20" s="72">
        <v>17</v>
      </c>
      <c r="I20" s="77">
        <f>SUM(C105:C119)</f>
        <v>53619.85</v>
      </c>
      <c r="J20" s="37">
        <v>95650</v>
      </c>
      <c r="K20" s="53">
        <f t="shared" si="1"/>
        <v>-42030.15</v>
      </c>
    </row>
    <row r="21" spans="1:11" ht="15" thickBot="1" x14ac:dyDescent="0.35">
      <c r="A21" s="101">
        <v>16091</v>
      </c>
      <c r="B21" s="92" t="s">
        <v>623</v>
      </c>
      <c r="C21" s="94">
        <v>21700</v>
      </c>
      <c r="D21" s="4" t="s">
        <v>10</v>
      </c>
      <c r="E21" s="6">
        <v>46114</v>
      </c>
      <c r="F21" s="12"/>
      <c r="H21" s="72">
        <v>20</v>
      </c>
      <c r="I21" s="77">
        <f>SUM(C120:C134)</f>
        <v>97058.64</v>
      </c>
      <c r="J21" s="37">
        <v>95650</v>
      </c>
      <c r="K21" s="53">
        <f t="shared" si="1"/>
        <v>1408.6399999999994</v>
      </c>
    </row>
    <row r="22" spans="1:11" ht="15" thickBot="1" x14ac:dyDescent="0.35">
      <c r="A22" s="101">
        <v>16093</v>
      </c>
      <c r="B22" s="92" t="s">
        <v>624</v>
      </c>
      <c r="C22" s="94">
        <v>16101</v>
      </c>
      <c r="D22" s="4" t="s">
        <v>16</v>
      </c>
      <c r="E22" s="6">
        <v>46114</v>
      </c>
      <c r="F22" s="12" t="s">
        <v>622</v>
      </c>
      <c r="H22" s="72">
        <v>22</v>
      </c>
      <c r="I22" s="77">
        <f>SUM(C135:C143)</f>
        <v>43272.06</v>
      </c>
      <c r="J22" s="37">
        <v>95650</v>
      </c>
      <c r="K22" s="53">
        <f t="shared" ref="K22:K28" si="2">SUM(I22-J22)</f>
        <v>-52377.94</v>
      </c>
    </row>
    <row r="23" spans="1:11" ht="15" thickBot="1" x14ac:dyDescent="0.35">
      <c r="A23" s="101">
        <v>16102</v>
      </c>
      <c r="B23" s="92" t="s">
        <v>625</v>
      </c>
      <c r="C23" s="94">
        <v>98</v>
      </c>
      <c r="D23" s="9" t="s">
        <v>16</v>
      </c>
      <c r="E23" s="6">
        <v>46114</v>
      </c>
      <c r="F23" s="12" t="s">
        <v>398</v>
      </c>
      <c r="H23" s="72">
        <v>23</v>
      </c>
      <c r="I23" s="77">
        <f>SUM(C144:C150)</f>
        <v>38456.83</v>
      </c>
      <c r="J23" s="37">
        <v>95650</v>
      </c>
      <c r="K23" s="53">
        <f t="shared" si="2"/>
        <v>-57193.17</v>
      </c>
    </row>
    <row r="24" spans="1:11" ht="15" thickBot="1" x14ac:dyDescent="0.35">
      <c r="A24" s="101">
        <v>16107</v>
      </c>
      <c r="B24" s="92" t="s">
        <v>316</v>
      </c>
      <c r="C24" s="94">
        <v>147</v>
      </c>
      <c r="D24" s="4" t="s">
        <v>16</v>
      </c>
      <c r="E24" s="6">
        <v>46118</v>
      </c>
      <c r="F24" s="12" t="s">
        <v>627</v>
      </c>
      <c r="H24" s="72">
        <v>24</v>
      </c>
      <c r="I24" s="77">
        <f>SUM(C151:C167)</f>
        <v>127721.17</v>
      </c>
      <c r="J24" s="37">
        <v>95650</v>
      </c>
      <c r="K24" s="53">
        <f t="shared" si="2"/>
        <v>32071.17</v>
      </c>
    </row>
    <row r="25" spans="1:11" ht="15" thickBot="1" x14ac:dyDescent="0.35">
      <c r="A25" s="101">
        <v>16089</v>
      </c>
      <c r="B25" s="92" t="s">
        <v>626</v>
      </c>
      <c r="C25" s="94">
        <v>74412</v>
      </c>
      <c r="D25" s="4" t="s">
        <v>10</v>
      </c>
      <c r="E25" s="6">
        <v>46118</v>
      </c>
      <c r="F25" s="12" t="s">
        <v>622</v>
      </c>
      <c r="H25" s="72">
        <v>27</v>
      </c>
      <c r="I25" s="77">
        <f>SUM(C168:C181)</f>
        <v>49420.26</v>
      </c>
      <c r="J25" s="37">
        <v>95650</v>
      </c>
      <c r="K25" s="53">
        <f t="shared" si="2"/>
        <v>-46229.74</v>
      </c>
    </row>
    <row r="26" spans="1:11" ht="15" thickBot="1" x14ac:dyDescent="0.35">
      <c r="A26" s="101">
        <v>16110</v>
      </c>
      <c r="B26" s="92" t="s">
        <v>628</v>
      </c>
      <c r="C26" s="94">
        <v>15190.5</v>
      </c>
      <c r="D26" s="4" t="s">
        <v>25</v>
      </c>
      <c r="E26" s="6">
        <v>46118</v>
      </c>
      <c r="F26" s="12"/>
      <c r="H26" s="72">
        <v>28</v>
      </c>
      <c r="I26" s="77">
        <f>SUM(C182:C192)</f>
        <v>66248.3</v>
      </c>
      <c r="J26" s="37">
        <v>95650</v>
      </c>
      <c r="K26" s="53">
        <f t="shared" si="2"/>
        <v>-29401.699999999997</v>
      </c>
    </row>
    <row r="27" spans="1:11" ht="15" thickBot="1" x14ac:dyDescent="0.35">
      <c r="A27" s="101">
        <v>16112</v>
      </c>
      <c r="B27" s="92" t="s">
        <v>293</v>
      </c>
      <c r="C27" s="94">
        <v>11.64</v>
      </c>
      <c r="D27" s="4" t="s">
        <v>25</v>
      </c>
      <c r="E27" s="6">
        <v>46118</v>
      </c>
      <c r="F27" s="12"/>
      <c r="H27" s="72">
        <v>29</v>
      </c>
      <c r="I27" s="77">
        <f>SUM(C193:C210)</f>
        <v>128810.83</v>
      </c>
      <c r="J27" s="37">
        <v>95650</v>
      </c>
      <c r="K27" s="53">
        <f t="shared" si="2"/>
        <v>33160.83</v>
      </c>
    </row>
    <row r="28" spans="1:11" ht="15" thickBot="1" x14ac:dyDescent="0.35">
      <c r="A28" s="101">
        <v>16115</v>
      </c>
      <c r="B28" s="92" t="s">
        <v>629</v>
      </c>
      <c r="C28" s="94">
        <v>5100</v>
      </c>
      <c r="D28" s="4" t="s">
        <v>10</v>
      </c>
      <c r="E28" s="6">
        <v>46118</v>
      </c>
      <c r="F28" s="12"/>
      <c r="H28" s="72">
        <v>30</v>
      </c>
      <c r="I28" s="77">
        <f>SUM(C211:C235)</f>
        <v>158064.31</v>
      </c>
      <c r="J28" s="37">
        <v>95650</v>
      </c>
      <c r="K28" s="53">
        <f t="shared" si="2"/>
        <v>62414.31</v>
      </c>
    </row>
    <row r="29" spans="1:11" x14ac:dyDescent="0.3">
      <c r="A29" s="101">
        <v>16132</v>
      </c>
      <c r="B29" s="92" t="s">
        <v>630</v>
      </c>
      <c r="C29" s="94">
        <v>10900</v>
      </c>
      <c r="D29" s="4" t="s">
        <v>10</v>
      </c>
      <c r="E29" s="6">
        <v>46118</v>
      </c>
      <c r="F29" s="12"/>
    </row>
    <row r="30" spans="1:11" x14ac:dyDescent="0.3">
      <c r="A30" s="101">
        <v>16125</v>
      </c>
      <c r="B30" s="92" t="s">
        <v>631</v>
      </c>
      <c r="C30" s="94">
        <v>138</v>
      </c>
      <c r="D30" s="4" t="s">
        <v>16</v>
      </c>
      <c r="E30" s="6">
        <v>46118</v>
      </c>
      <c r="F30" s="12"/>
    </row>
    <row r="31" spans="1:11" x14ac:dyDescent="0.3">
      <c r="A31" s="92">
        <v>16151</v>
      </c>
      <c r="B31" s="92" t="s">
        <v>632</v>
      </c>
      <c r="C31" s="94">
        <v>176.2</v>
      </c>
      <c r="D31" s="4" t="s">
        <v>16</v>
      </c>
      <c r="E31" s="6">
        <v>46118</v>
      </c>
      <c r="F31" s="12"/>
    </row>
    <row r="32" spans="1:11" x14ac:dyDescent="0.3">
      <c r="A32" s="101">
        <v>16156</v>
      </c>
      <c r="B32" s="92" t="s">
        <v>633</v>
      </c>
      <c r="C32" s="94">
        <v>10976.8</v>
      </c>
      <c r="D32" s="4" t="s">
        <v>16</v>
      </c>
      <c r="E32" s="6">
        <v>46118</v>
      </c>
      <c r="F32" s="12"/>
    </row>
    <row r="33" spans="1:6" x14ac:dyDescent="0.3">
      <c r="A33" s="101">
        <v>16158</v>
      </c>
      <c r="B33" s="92" t="s">
        <v>634</v>
      </c>
      <c r="C33" s="94">
        <v>678</v>
      </c>
      <c r="D33" s="4" t="s">
        <v>10</v>
      </c>
      <c r="E33" s="6">
        <v>46118</v>
      </c>
      <c r="F33" s="12"/>
    </row>
    <row r="34" spans="1:6" x14ac:dyDescent="0.3">
      <c r="A34" s="101">
        <v>16160</v>
      </c>
      <c r="B34" s="92" t="s">
        <v>637</v>
      </c>
      <c r="C34" s="94">
        <v>8500</v>
      </c>
      <c r="D34" s="4" t="s">
        <v>10</v>
      </c>
      <c r="E34" s="6">
        <v>46119</v>
      </c>
      <c r="F34" s="12"/>
    </row>
    <row r="35" spans="1:6" x14ac:dyDescent="0.3">
      <c r="A35" s="101">
        <v>16164</v>
      </c>
      <c r="B35" s="92" t="s">
        <v>638</v>
      </c>
      <c r="C35" s="94">
        <v>1052</v>
      </c>
      <c r="D35" s="4" t="s">
        <v>16</v>
      </c>
      <c r="E35" s="6">
        <v>46119</v>
      </c>
      <c r="F35" s="12"/>
    </row>
    <row r="36" spans="1:6" x14ac:dyDescent="0.3">
      <c r="A36" s="101">
        <v>16145</v>
      </c>
      <c r="B36" s="92" t="s">
        <v>639</v>
      </c>
      <c r="C36" s="94">
        <v>127.16</v>
      </c>
      <c r="D36" s="4" t="s">
        <v>25</v>
      </c>
      <c r="E36" s="6">
        <v>46119</v>
      </c>
      <c r="F36" s="12"/>
    </row>
    <row r="37" spans="1:6" x14ac:dyDescent="0.3">
      <c r="A37" s="101">
        <v>16146</v>
      </c>
      <c r="B37" s="92" t="s">
        <v>640</v>
      </c>
      <c r="C37" s="94">
        <v>11.64</v>
      </c>
      <c r="D37" s="4" t="s">
        <v>25</v>
      </c>
      <c r="E37" s="6">
        <v>46119</v>
      </c>
      <c r="F37" s="12"/>
    </row>
    <row r="38" spans="1:6" x14ac:dyDescent="0.3">
      <c r="A38" s="101">
        <v>16147</v>
      </c>
      <c r="B38" s="92" t="s">
        <v>641</v>
      </c>
      <c r="C38" s="94">
        <v>63.58</v>
      </c>
      <c r="D38" s="4" t="s">
        <v>25</v>
      </c>
      <c r="E38" s="6">
        <v>46119</v>
      </c>
      <c r="F38" s="12"/>
    </row>
    <row r="39" spans="1:6" x14ac:dyDescent="0.3">
      <c r="A39" s="101">
        <v>16148</v>
      </c>
      <c r="B39" s="92" t="s">
        <v>642</v>
      </c>
      <c r="C39" s="94">
        <v>63.58</v>
      </c>
      <c r="D39" s="4" t="s">
        <v>25</v>
      </c>
      <c r="E39" s="6">
        <v>46119</v>
      </c>
      <c r="F39" s="12"/>
    </row>
    <row r="40" spans="1:6" x14ac:dyDescent="0.3">
      <c r="A40" s="101">
        <v>16149</v>
      </c>
      <c r="B40" s="92" t="s">
        <v>643</v>
      </c>
      <c r="C40" s="94">
        <v>192.59</v>
      </c>
      <c r="D40" s="4" t="s">
        <v>25</v>
      </c>
      <c r="E40" s="6">
        <v>46119</v>
      </c>
      <c r="F40" s="12"/>
    </row>
    <row r="41" spans="1:6" x14ac:dyDescent="0.3">
      <c r="A41" s="101">
        <v>16161</v>
      </c>
      <c r="B41" s="92" t="s">
        <v>644</v>
      </c>
      <c r="C41" s="94">
        <v>124.67</v>
      </c>
      <c r="D41" s="4" t="s">
        <v>25</v>
      </c>
      <c r="E41" s="6">
        <v>46119</v>
      </c>
      <c r="F41" s="12"/>
    </row>
    <row r="42" spans="1:6" x14ac:dyDescent="0.3">
      <c r="A42" s="101">
        <v>16167</v>
      </c>
      <c r="B42" s="92" t="s">
        <v>645</v>
      </c>
      <c r="C42" s="94">
        <v>63.58</v>
      </c>
      <c r="D42" s="4" t="s">
        <v>25</v>
      </c>
      <c r="E42" s="6">
        <v>46119</v>
      </c>
      <c r="F42" s="12"/>
    </row>
    <row r="43" spans="1:6" x14ac:dyDescent="0.3">
      <c r="A43" s="101">
        <v>16168</v>
      </c>
      <c r="B43" s="92" t="s">
        <v>646</v>
      </c>
      <c r="C43" s="94">
        <v>198.55</v>
      </c>
      <c r="D43" s="4" t="s">
        <v>25</v>
      </c>
      <c r="E43" s="6">
        <v>46119</v>
      </c>
      <c r="F43" s="12"/>
    </row>
    <row r="44" spans="1:6" x14ac:dyDescent="0.3">
      <c r="A44" s="101">
        <v>16169</v>
      </c>
      <c r="B44" s="92" t="s">
        <v>647</v>
      </c>
      <c r="C44" s="94">
        <v>198.55</v>
      </c>
      <c r="D44" s="4" t="s">
        <v>25</v>
      </c>
      <c r="E44" s="6">
        <v>46119</v>
      </c>
      <c r="F44" s="12"/>
    </row>
    <row r="45" spans="1:6" x14ac:dyDescent="0.3">
      <c r="A45" s="101">
        <v>16177</v>
      </c>
      <c r="B45" s="92" t="s">
        <v>648</v>
      </c>
      <c r="C45" s="94">
        <v>12900</v>
      </c>
      <c r="D45" s="4" t="s">
        <v>10</v>
      </c>
      <c r="E45" s="6">
        <v>46119</v>
      </c>
      <c r="F45" s="12"/>
    </row>
    <row r="46" spans="1:6" x14ac:dyDescent="0.3">
      <c r="A46" s="101">
        <v>16180</v>
      </c>
      <c r="B46" s="94" t="s">
        <v>649</v>
      </c>
      <c r="C46" s="94">
        <v>4720</v>
      </c>
      <c r="D46" s="9" t="s">
        <v>16</v>
      </c>
      <c r="E46" s="6">
        <v>46119</v>
      </c>
      <c r="F46" s="12"/>
    </row>
    <row r="47" spans="1:6" x14ac:dyDescent="0.3">
      <c r="A47" s="101">
        <v>16184</v>
      </c>
      <c r="B47" s="92" t="s">
        <v>650</v>
      </c>
      <c r="C47" s="94">
        <v>38070</v>
      </c>
      <c r="D47" s="4" t="s">
        <v>13</v>
      </c>
      <c r="E47" s="6">
        <v>46119</v>
      </c>
      <c r="F47" s="12"/>
    </row>
    <row r="48" spans="1:6" x14ac:dyDescent="0.3">
      <c r="A48" s="101">
        <v>16191</v>
      </c>
      <c r="B48" s="92" t="s">
        <v>651</v>
      </c>
      <c r="C48" s="94">
        <v>5900</v>
      </c>
      <c r="D48" s="4" t="s">
        <v>16</v>
      </c>
      <c r="E48" s="6">
        <v>46119</v>
      </c>
      <c r="F48" s="12"/>
    </row>
    <row r="49" spans="1:6" x14ac:dyDescent="0.3">
      <c r="A49" s="101">
        <v>16193</v>
      </c>
      <c r="B49" s="92" t="s">
        <v>652</v>
      </c>
      <c r="C49" s="94">
        <v>137.75</v>
      </c>
      <c r="D49" s="4" t="s">
        <v>25</v>
      </c>
      <c r="E49" s="6">
        <v>46120</v>
      </c>
      <c r="F49" s="12"/>
    </row>
    <row r="50" spans="1:6" x14ac:dyDescent="0.3">
      <c r="A50" s="101">
        <v>16194</v>
      </c>
      <c r="B50" s="92" t="s">
        <v>653</v>
      </c>
      <c r="C50" s="94">
        <v>95</v>
      </c>
      <c r="D50" s="4" t="s">
        <v>25</v>
      </c>
      <c r="E50" s="6">
        <v>46120</v>
      </c>
      <c r="F50" s="12"/>
    </row>
    <row r="51" spans="1:6" x14ac:dyDescent="0.3">
      <c r="A51" s="101">
        <v>16195</v>
      </c>
      <c r="B51" s="92" t="s">
        <v>654</v>
      </c>
      <c r="C51" s="94">
        <v>198</v>
      </c>
      <c r="D51" s="4" t="s">
        <v>25</v>
      </c>
      <c r="E51" s="6">
        <v>46120</v>
      </c>
      <c r="F51" s="12"/>
    </row>
    <row r="52" spans="1:6" x14ac:dyDescent="0.3">
      <c r="A52" s="101">
        <v>16196</v>
      </c>
      <c r="B52" s="92" t="s">
        <v>655</v>
      </c>
      <c r="C52" s="94">
        <v>192.59</v>
      </c>
      <c r="D52" s="4" t="s">
        <v>25</v>
      </c>
      <c r="E52" s="6">
        <v>46120</v>
      </c>
      <c r="F52" s="12"/>
    </row>
    <row r="53" spans="1:6" x14ac:dyDescent="0.3">
      <c r="A53" s="101">
        <v>16197</v>
      </c>
      <c r="B53" s="92" t="s">
        <v>575</v>
      </c>
      <c r="C53" s="94">
        <v>577.77</v>
      </c>
      <c r="D53" s="4" t="s">
        <v>25</v>
      </c>
      <c r="E53" s="6">
        <v>46120</v>
      </c>
      <c r="F53" s="12"/>
    </row>
    <row r="54" spans="1:6" x14ac:dyDescent="0.3">
      <c r="A54" s="101">
        <v>16198</v>
      </c>
      <c r="B54" s="92" t="s">
        <v>656</v>
      </c>
      <c r="C54" s="94">
        <v>948.78</v>
      </c>
      <c r="D54" s="4" t="s">
        <v>25</v>
      </c>
      <c r="E54" s="6">
        <v>46120</v>
      </c>
      <c r="F54" s="12"/>
    </row>
    <row r="55" spans="1:6" x14ac:dyDescent="0.3">
      <c r="A55" s="101">
        <v>16204</v>
      </c>
      <c r="B55" s="92" t="s">
        <v>657</v>
      </c>
      <c r="C55" s="94">
        <v>635.79999999999995</v>
      </c>
      <c r="D55" s="4" t="s">
        <v>25</v>
      </c>
      <c r="E55" s="6">
        <v>46120</v>
      </c>
      <c r="F55" s="12"/>
    </row>
    <row r="56" spans="1:6" x14ac:dyDescent="0.3">
      <c r="A56" s="101">
        <v>16211</v>
      </c>
      <c r="B56" s="92" t="s">
        <v>150</v>
      </c>
      <c r="C56" s="94">
        <v>3672</v>
      </c>
      <c r="D56" s="4" t="s">
        <v>13</v>
      </c>
      <c r="E56" s="6">
        <v>46120</v>
      </c>
      <c r="F56" s="12"/>
    </row>
    <row r="57" spans="1:6" x14ac:dyDescent="0.3">
      <c r="A57" s="101">
        <v>16213</v>
      </c>
      <c r="B57" s="92" t="s">
        <v>658</v>
      </c>
      <c r="C57" s="94">
        <v>1019</v>
      </c>
      <c r="D57" s="4" t="s">
        <v>16</v>
      </c>
      <c r="E57" s="6">
        <v>46120</v>
      </c>
      <c r="F57" s="12"/>
    </row>
    <row r="58" spans="1:6" x14ac:dyDescent="0.3">
      <c r="A58" s="101">
        <v>16219</v>
      </c>
      <c r="B58" s="92" t="s">
        <v>659</v>
      </c>
      <c r="C58" s="94">
        <v>35102</v>
      </c>
      <c r="D58" s="4" t="s">
        <v>10</v>
      </c>
      <c r="E58" s="6">
        <v>46120</v>
      </c>
      <c r="F58" s="12" t="s">
        <v>660</v>
      </c>
    </row>
    <row r="59" spans="1:6" x14ac:dyDescent="0.3">
      <c r="A59" s="101">
        <v>16221</v>
      </c>
      <c r="B59" s="92" t="s">
        <v>661</v>
      </c>
      <c r="C59" s="94">
        <v>5520</v>
      </c>
      <c r="D59" s="4" t="s">
        <v>10</v>
      </c>
      <c r="E59" s="6">
        <v>46120</v>
      </c>
      <c r="F59" s="12"/>
    </row>
    <row r="60" spans="1:6" x14ac:dyDescent="0.3">
      <c r="A60" s="101">
        <v>16228</v>
      </c>
      <c r="B60" s="92" t="s">
        <v>662</v>
      </c>
      <c r="C60" s="94">
        <v>16784</v>
      </c>
      <c r="D60" s="4" t="s">
        <v>16</v>
      </c>
      <c r="E60" s="6">
        <v>46120</v>
      </c>
      <c r="F60" s="12"/>
    </row>
    <row r="61" spans="1:6" x14ac:dyDescent="0.3">
      <c r="A61" s="101">
        <v>16230</v>
      </c>
      <c r="B61" s="92" t="s">
        <v>663</v>
      </c>
      <c r="C61" s="94">
        <v>10424.1</v>
      </c>
      <c r="D61" s="4" t="s">
        <v>10</v>
      </c>
      <c r="E61" s="6">
        <v>46120</v>
      </c>
      <c r="F61" s="12" t="s">
        <v>739</v>
      </c>
    </row>
    <row r="62" spans="1:6" x14ac:dyDescent="0.3">
      <c r="A62" s="101">
        <v>16235</v>
      </c>
      <c r="B62" s="92" t="s">
        <v>664</v>
      </c>
      <c r="C62" s="94">
        <v>63.58</v>
      </c>
      <c r="D62" s="4" t="s">
        <v>25</v>
      </c>
      <c r="E62" s="6">
        <v>46121</v>
      </c>
      <c r="F62" s="12"/>
    </row>
    <row r="63" spans="1:6" x14ac:dyDescent="0.3">
      <c r="A63" s="101">
        <v>16236</v>
      </c>
      <c r="B63" s="92" t="s">
        <v>665</v>
      </c>
      <c r="C63" s="94">
        <v>63.58</v>
      </c>
      <c r="D63" s="4" t="s">
        <v>25</v>
      </c>
      <c r="E63" s="6">
        <v>46121</v>
      </c>
      <c r="F63" s="12"/>
    </row>
    <row r="64" spans="1:6" x14ac:dyDescent="0.3">
      <c r="A64" s="101">
        <v>16237</v>
      </c>
      <c r="B64" s="92" t="s">
        <v>652</v>
      </c>
      <c r="C64" s="94">
        <v>71.900000000000006</v>
      </c>
      <c r="D64" s="4" t="s">
        <v>25</v>
      </c>
      <c r="E64" s="6">
        <v>46121</v>
      </c>
      <c r="F64" s="12"/>
    </row>
    <row r="65" spans="1:8" x14ac:dyDescent="0.3">
      <c r="A65" s="101">
        <v>16238</v>
      </c>
      <c r="B65" s="92" t="s">
        <v>549</v>
      </c>
      <c r="C65" s="94">
        <v>418</v>
      </c>
      <c r="D65" s="4" t="s">
        <v>25</v>
      </c>
      <c r="E65" s="6">
        <v>46121</v>
      </c>
      <c r="F65" s="12"/>
      <c r="H65" s="13"/>
    </row>
    <row r="66" spans="1:8" x14ac:dyDescent="0.3">
      <c r="A66" s="101">
        <v>16239</v>
      </c>
      <c r="B66" s="92" t="s">
        <v>666</v>
      </c>
      <c r="C66" s="94">
        <v>192.59</v>
      </c>
      <c r="D66" s="4" t="s">
        <v>25</v>
      </c>
      <c r="E66" s="6">
        <v>46121</v>
      </c>
      <c r="F66" s="12"/>
    </row>
    <row r="67" spans="1:8" x14ac:dyDescent="0.3">
      <c r="A67" s="101">
        <v>16240</v>
      </c>
      <c r="B67" s="92" t="s">
        <v>667</v>
      </c>
      <c r="C67" s="94">
        <v>192.06</v>
      </c>
      <c r="D67" s="4" t="s">
        <v>25</v>
      </c>
      <c r="E67" s="6">
        <v>46121</v>
      </c>
      <c r="F67" s="12"/>
    </row>
    <row r="68" spans="1:8" x14ac:dyDescent="0.3">
      <c r="A68" s="101">
        <v>16253</v>
      </c>
      <c r="B68" s="92" t="s">
        <v>668</v>
      </c>
      <c r="C68" s="94">
        <v>61550</v>
      </c>
      <c r="D68" s="4" t="s">
        <v>16</v>
      </c>
      <c r="E68" s="6">
        <v>46121</v>
      </c>
      <c r="F68" s="12"/>
    </row>
    <row r="69" spans="1:8" x14ac:dyDescent="0.3">
      <c r="A69" s="101">
        <v>16254</v>
      </c>
      <c r="B69" s="92" t="s">
        <v>669</v>
      </c>
      <c r="C69" s="94">
        <v>4720</v>
      </c>
      <c r="D69" s="9" t="s">
        <v>16</v>
      </c>
      <c r="E69" s="6">
        <v>46121</v>
      </c>
      <c r="F69" s="12"/>
    </row>
    <row r="70" spans="1:8" x14ac:dyDescent="0.3">
      <c r="A70" s="101">
        <v>16255</v>
      </c>
      <c r="B70" s="92" t="s">
        <v>670</v>
      </c>
      <c r="C70" s="94">
        <v>4720</v>
      </c>
      <c r="D70" s="4" t="s">
        <v>13</v>
      </c>
      <c r="E70" s="6">
        <v>46121</v>
      </c>
      <c r="F70" s="110" t="s">
        <v>604</v>
      </c>
    </row>
    <row r="71" spans="1:8" x14ac:dyDescent="0.3">
      <c r="A71" s="101">
        <v>16166</v>
      </c>
      <c r="B71" s="92" t="s">
        <v>671</v>
      </c>
      <c r="C71" s="94">
        <v>4720</v>
      </c>
      <c r="D71" s="4" t="s">
        <v>10</v>
      </c>
      <c r="E71" s="6">
        <v>46122</v>
      </c>
      <c r="F71" s="12"/>
    </row>
    <row r="72" spans="1:8" x14ac:dyDescent="0.3">
      <c r="A72" s="101">
        <v>16262</v>
      </c>
      <c r="B72" s="92" t="s">
        <v>672</v>
      </c>
      <c r="C72" s="94">
        <v>522.20000000000005</v>
      </c>
      <c r="D72" s="4" t="s">
        <v>16</v>
      </c>
      <c r="E72" s="6">
        <v>46122</v>
      </c>
      <c r="F72" s="12"/>
    </row>
    <row r="73" spans="1:8" x14ac:dyDescent="0.3">
      <c r="A73" s="101">
        <v>16266</v>
      </c>
      <c r="B73" s="92" t="s">
        <v>673</v>
      </c>
      <c r="C73" s="94">
        <v>11610</v>
      </c>
      <c r="D73" s="4" t="s">
        <v>16</v>
      </c>
      <c r="E73" s="6">
        <v>46125</v>
      </c>
      <c r="F73" s="12"/>
    </row>
    <row r="74" spans="1:8" x14ac:dyDescent="0.3">
      <c r="A74" s="101">
        <v>16267</v>
      </c>
      <c r="B74" s="92" t="s">
        <v>674</v>
      </c>
      <c r="C74" s="94">
        <v>1076</v>
      </c>
      <c r="D74" s="4" t="s">
        <v>16</v>
      </c>
      <c r="E74" s="6">
        <v>45760</v>
      </c>
      <c r="F74" s="12"/>
    </row>
    <row r="75" spans="1:8" x14ac:dyDescent="0.3">
      <c r="A75" s="101">
        <v>16268</v>
      </c>
      <c r="B75" s="92" t="s">
        <v>675</v>
      </c>
      <c r="C75" s="94">
        <v>358.16</v>
      </c>
      <c r="D75" s="4" t="s">
        <v>25</v>
      </c>
      <c r="E75" s="6">
        <v>46125</v>
      </c>
      <c r="F75" s="12"/>
    </row>
    <row r="76" spans="1:8" x14ac:dyDescent="0.3">
      <c r="A76" s="101">
        <v>16269</v>
      </c>
      <c r="B76" s="92" t="s">
        <v>676</v>
      </c>
      <c r="C76" s="94">
        <v>192.59</v>
      </c>
      <c r="D76" s="4" t="s">
        <v>25</v>
      </c>
      <c r="E76" s="6">
        <v>46125</v>
      </c>
      <c r="F76" s="12"/>
    </row>
    <row r="77" spans="1:8" x14ac:dyDescent="0.3">
      <c r="A77" s="101">
        <v>16274</v>
      </c>
      <c r="B77" s="92" t="s">
        <v>677</v>
      </c>
      <c r="C77" s="94">
        <v>25685.1</v>
      </c>
      <c r="D77" s="9" t="s">
        <v>16</v>
      </c>
      <c r="E77" s="6">
        <v>46125</v>
      </c>
      <c r="F77" s="12"/>
    </row>
    <row r="78" spans="1:8" x14ac:dyDescent="0.3">
      <c r="A78" s="101">
        <v>16279</v>
      </c>
      <c r="B78" s="92" t="s">
        <v>678</v>
      </c>
      <c r="C78" s="94">
        <v>22212</v>
      </c>
      <c r="D78" s="4" t="s">
        <v>13</v>
      </c>
      <c r="E78" s="6">
        <v>46125</v>
      </c>
      <c r="F78" s="12"/>
    </row>
    <row r="79" spans="1:8" x14ac:dyDescent="0.3">
      <c r="A79" s="101">
        <v>16290</v>
      </c>
      <c r="B79" s="92" t="s">
        <v>679</v>
      </c>
      <c r="C79" s="94">
        <v>5250</v>
      </c>
      <c r="D79" s="4" t="s">
        <v>10</v>
      </c>
      <c r="E79" s="6">
        <v>46125</v>
      </c>
      <c r="F79" s="12" t="s">
        <v>762</v>
      </c>
    </row>
    <row r="80" spans="1:8" x14ac:dyDescent="0.3">
      <c r="A80" s="101">
        <v>16295</v>
      </c>
      <c r="B80" s="92" t="s">
        <v>595</v>
      </c>
      <c r="C80" s="94">
        <v>63.58</v>
      </c>
      <c r="D80" s="4" t="s">
        <v>25</v>
      </c>
      <c r="E80" s="6">
        <v>46126</v>
      </c>
      <c r="F80" s="12"/>
    </row>
    <row r="81" spans="1:6" x14ac:dyDescent="0.3">
      <c r="A81" s="101">
        <v>16311</v>
      </c>
      <c r="B81" s="92" t="s">
        <v>680</v>
      </c>
      <c r="C81" s="94">
        <v>14391</v>
      </c>
      <c r="D81" s="4" t="s">
        <v>10</v>
      </c>
      <c r="E81" s="6">
        <v>46126</v>
      </c>
      <c r="F81" s="12"/>
    </row>
    <row r="82" spans="1:6" x14ac:dyDescent="0.3">
      <c r="A82" s="101">
        <v>16313</v>
      </c>
      <c r="B82" s="92" t="s">
        <v>681</v>
      </c>
      <c r="C82" s="94">
        <v>1290</v>
      </c>
      <c r="D82" s="4" t="s">
        <v>10</v>
      </c>
      <c r="E82" s="6">
        <v>46126</v>
      </c>
      <c r="F82" s="12"/>
    </row>
    <row r="83" spans="1:6" x14ac:dyDescent="0.3">
      <c r="A83" s="101">
        <v>16315</v>
      </c>
      <c r="B83" s="92" t="s">
        <v>243</v>
      </c>
      <c r="C83" s="94">
        <v>11610</v>
      </c>
      <c r="D83" s="4" t="s">
        <v>10</v>
      </c>
      <c r="E83" s="6">
        <v>46126</v>
      </c>
      <c r="F83" s="12"/>
    </row>
    <row r="84" spans="1:6" x14ac:dyDescent="0.3">
      <c r="A84" s="101">
        <v>16320</v>
      </c>
      <c r="B84" s="92" t="s">
        <v>684</v>
      </c>
      <c r="C84" s="94">
        <v>16875</v>
      </c>
      <c r="D84" s="4" t="s">
        <v>13</v>
      </c>
      <c r="E84" s="6">
        <v>46127</v>
      </c>
      <c r="F84" s="12"/>
    </row>
    <row r="85" spans="1:6" x14ac:dyDescent="0.3">
      <c r="A85" s="101">
        <v>16328</v>
      </c>
      <c r="B85" s="92" t="s">
        <v>683</v>
      </c>
      <c r="C85" s="94">
        <v>3672</v>
      </c>
      <c r="D85" s="4" t="s">
        <v>10</v>
      </c>
      <c r="E85" s="6">
        <v>46127</v>
      </c>
      <c r="F85" s="12"/>
    </row>
    <row r="86" spans="1:6" x14ac:dyDescent="0.3">
      <c r="A86" s="101">
        <v>16332</v>
      </c>
      <c r="B86" s="92" t="s">
        <v>685</v>
      </c>
      <c r="C86" s="94">
        <v>12700</v>
      </c>
      <c r="D86" s="4" t="s">
        <v>10</v>
      </c>
      <c r="E86" s="6">
        <v>46127</v>
      </c>
      <c r="F86" s="12" t="s">
        <v>739</v>
      </c>
    </row>
    <row r="87" spans="1:6" x14ac:dyDescent="0.3">
      <c r="A87" s="101">
        <v>16333</v>
      </c>
      <c r="B87" s="92" t="s">
        <v>686</v>
      </c>
      <c r="C87" s="94">
        <v>4303</v>
      </c>
      <c r="D87" s="4" t="s">
        <v>13</v>
      </c>
      <c r="E87" s="6">
        <v>46127</v>
      </c>
      <c r="F87" s="12" t="s">
        <v>687</v>
      </c>
    </row>
    <row r="88" spans="1:6" x14ac:dyDescent="0.3">
      <c r="A88" s="101">
        <v>16349</v>
      </c>
      <c r="B88" s="92" t="s">
        <v>688</v>
      </c>
      <c r="C88" s="94">
        <v>5310</v>
      </c>
      <c r="D88" s="9" t="s">
        <v>16</v>
      </c>
      <c r="E88" s="6">
        <v>46127</v>
      </c>
      <c r="F88" s="12"/>
    </row>
    <row r="89" spans="1:6" x14ac:dyDescent="0.3">
      <c r="A89" s="102">
        <v>16348</v>
      </c>
      <c r="B89" s="97" t="s">
        <v>689</v>
      </c>
      <c r="C89" s="94">
        <v>5310</v>
      </c>
      <c r="D89" s="9" t="s">
        <v>16</v>
      </c>
      <c r="E89" s="11">
        <v>46127</v>
      </c>
      <c r="F89" s="12"/>
    </row>
    <row r="90" spans="1:6" x14ac:dyDescent="0.3">
      <c r="A90" s="101">
        <v>16347</v>
      </c>
      <c r="B90" s="92" t="s">
        <v>696</v>
      </c>
      <c r="C90" s="94">
        <v>3060</v>
      </c>
      <c r="D90" s="4" t="s">
        <v>50</v>
      </c>
      <c r="E90" s="11">
        <v>46127</v>
      </c>
      <c r="F90" s="21" t="s">
        <v>697</v>
      </c>
    </row>
    <row r="91" spans="1:6" x14ac:dyDescent="0.3">
      <c r="A91" s="101">
        <v>16352</v>
      </c>
      <c r="B91" s="92" t="s">
        <v>690</v>
      </c>
      <c r="C91" s="94">
        <v>21194</v>
      </c>
      <c r="D91" s="9" t="s">
        <v>16</v>
      </c>
      <c r="E91" s="6">
        <v>46128</v>
      </c>
      <c r="F91" s="12"/>
    </row>
    <row r="92" spans="1:6" x14ac:dyDescent="0.3">
      <c r="A92" s="101">
        <v>16354</v>
      </c>
      <c r="B92" s="92" t="s">
        <v>691</v>
      </c>
      <c r="C92" s="94">
        <v>110.4</v>
      </c>
      <c r="D92" s="9" t="s">
        <v>16</v>
      </c>
      <c r="E92" s="11">
        <v>46128</v>
      </c>
      <c r="F92" s="12"/>
    </row>
    <row r="93" spans="1:6" x14ac:dyDescent="0.3">
      <c r="A93" s="101">
        <v>16329</v>
      </c>
      <c r="B93" s="92" t="s">
        <v>692</v>
      </c>
      <c r="C93" s="94">
        <v>63.58</v>
      </c>
      <c r="D93" s="4" t="s">
        <v>25</v>
      </c>
      <c r="E93" s="6">
        <v>46128</v>
      </c>
      <c r="F93" s="12"/>
    </row>
    <row r="94" spans="1:6" x14ac:dyDescent="0.3">
      <c r="A94" s="101">
        <v>16331</v>
      </c>
      <c r="B94" s="92" t="s">
        <v>693</v>
      </c>
      <c r="C94" s="94">
        <v>20.36</v>
      </c>
      <c r="D94" s="4" t="s">
        <v>25</v>
      </c>
      <c r="E94" s="6">
        <v>46128</v>
      </c>
      <c r="F94" s="12"/>
    </row>
    <row r="95" spans="1:6" x14ac:dyDescent="0.3">
      <c r="A95" s="101">
        <v>16334</v>
      </c>
      <c r="B95" s="92" t="s">
        <v>588</v>
      </c>
      <c r="C95" s="94">
        <v>20.36</v>
      </c>
      <c r="D95" s="4" t="s">
        <v>25</v>
      </c>
      <c r="E95" s="6">
        <v>46128</v>
      </c>
      <c r="F95" s="12"/>
    </row>
    <row r="96" spans="1:6" x14ac:dyDescent="0.3">
      <c r="A96" s="101">
        <v>16335</v>
      </c>
      <c r="B96" s="92" t="s">
        <v>694</v>
      </c>
      <c r="C96" s="94">
        <v>10.18</v>
      </c>
      <c r="D96" s="4" t="s">
        <v>25</v>
      </c>
      <c r="E96" s="6">
        <v>46128</v>
      </c>
      <c r="F96" s="34"/>
    </row>
    <row r="97" spans="1:6" x14ac:dyDescent="0.3">
      <c r="A97" s="101">
        <v>16336</v>
      </c>
      <c r="B97" s="92" t="s">
        <v>692</v>
      </c>
      <c r="C97" s="94">
        <v>1090</v>
      </c>
      <c r="D97" s="4" t="s">
        <v>25</v>
      </c>
      <c r="E97" s="6">
        <v>46128</v>
      </c>
      <c r="F97" s="12"/>
    </row>
    <row r="98" spans="1:6" x14ac:dyDescent="0.3">
      <c r="A98" s="101">
        <v>16337</v>
      </c>
      <c r="B98" s="92" t="s">
        <v>695</v>
      </c>
      <c r="C98" s="94">
        <v>82.01</v>
      </c>
      <c r="D98" s="4" t="s">
        <v>25</v>
      </c>
      <c r="E98" s="6">
        <v>46128</v>
      </c>
      <c r="F98" s="12"/>
    </row>
    <row r="99" spans="1:6" x14ac:dyDescent="0.3">
      <c r="A99" s="101">
        <v>16350</v>
      </c>
      <c r="B99" s="92" t="s">
        <v>698</v>
      </c>
      <c r="C99" s="94">
        <v>5436.85</v>
      </c>
      <c r="D99" s="4" t="s">
        <v>25</v>
      </c>
      <c r="E99" s="6">
        <v>46128</v>
      </c>
      <c r="F99" s="12"/>
    </row>
    <row r="100" spans="1:6" x14ac:dyDescent="0.3">
      <c r="A100" s="101">
        <v>16351</v>
      </c>
      <c r="B100" s="92" t="s">
        <v>699</v>
      </c>
      <c r="C100" s="94">
        <v>137.75</v>
      </c>
      <c r="D100" s="4" t="s">
        <v>25</v>
      </c>
      <c r="E100" s="6">
        <v>46128</v>
      </c>
      <c r="F100" s="12"/>
    </row>
    <row r="101" spans="1:6" x14ac:dyDescent="0.3">
      <c r="A101" s="101">
        <v>16355</v>
      </c>
      <c r="B101" s="92" t="s">
        <v>700</v>
      </c>
      <c r="C101" s="94">
        <v>900</v>
      </c>
      <c r="D101" s="4" t="s">
        <v>10</v>
      </c>
      <c r="E101" s="6">
        <v>46128</v>
      </c>
      <c r="F101" s="12"/>
    </row>
    <row r="102" spans="1:6" x14ac:dyDescent="0.3">
      <c r="A102" s="101">
        <v>16356</v>
      </c>
      <c r="B102" s="92" t="s">
        <v>701</v>
      </c>
      <c r="C102" s="94">
        <v>11565</v>
      </c>
      <c r="D102" s="4" t="s">
        <v>10</v>
      </c>
      <c r="E102" s="6">
        <v>46128</v>
      </c>
      <c r="F102" s="12"/>
    </row>
    <row r="103" spans="1:6" x14ac:dyDescent="0.3">
      <c r="A103" s="92">
        <v>16358</v>
      </c>
      <c r="B103" s="92" t="s">
        <v>702</v>
      </c>
      <c r="C103" s="94">
        <v>3992</v>
      </c>
      <c r="D103" s="4" t="s">
        <v>10</v>
      </c>
      <c r="E103" s="6">
        <v>46128</v>
      </c>
      <c r="F103" s="92" t="s">
        <v>762</v>
      </c>
    </row>
    <row r="104" spans="1:6" x14ac:dyDescent="0.3">
      <c r="A104" s="92">
        <v>16380</v>
      </c>
      <c r="B104" s="92" t="s">
        <v>703</v>
      </c>
      <c r="C104" s="94">
        <v>9584.1</v>
      </c>
      <c r="D104" s="4" t="s">
        <v>10</v>
      </c>
      <c r="E104" s="6">
        <v>46128</v>
      </c>
      <c r="F104" s="92" t="s">
        <v>739</v>
      </c>
    </row>
    <row r="105" spans="1:6" x14ac:dyDescent="0.3">
      <c r="A105" s="92">
        <v>16369</v>
      </c>
      <c r="B105" s="92" t="s">
        <v>704</v>
      </c>
      <c r="C105" s="94">
        <v>20.36</v>
      </c>
      <c r="D105" s="4" t="s">
        <v>25</v>
      </c>
      <c r="E105" s="6">
        <v>46129</v>
      </c>
      <c r="F105" s="92"/>
    </row>
    <row r="106" spans="1:6" x14ac:dyDescent="0.3">
      <c r="A106" s="92">
        <v>16371</v>
      </c>
      <c r="B106" s="92" t="s">
        <v>705</v>
      </c>
      <c r="C106" s="94">
        <v>990</v>
      </c>
      <c r="D106" s="4" t="s">
        <v>25</v>
      </c>
      <c r="E106" s="6">
        <v>46129</v>
      </c>
      <c r="F106" s="92"/>
    </row>
    <row r="107" spans="1:6" x14ac:dyDescent="0.3">
      <c r="A107" s="101">
        <v>16373</v>
      </c>
      <c r="B107" s="92" t="s">
        <v>706</v>
      </c>
      <c r="C107" s="94">
        <v>127.16</v>
      </c>
      <c r="D107" s="4" t="s">
        <v>25</v>
      </c>
      <c r="E107" s="6">
        <v>46129</v>
      </c>
      <c r="F107" s="12"/>
    </row>
    <row r="108" spans="1:6" x14ac:dyDescent="0.3">
      <c r="A108" s="101">
        <v>16374</v>
      </c>
      <c r="B108" s="92" t="s">
        <v>707</v>
      </c>
      <c r="C108" s="94">
        <v>63.58</v>
      </c>
      <c r="D108" s="4" t="s">
        <v>25</v>
      </c>
      <c r="E108" s="6">
        <v>46129</v>
      </c>
      <c r="F108" s="12"/>
    </row>
    <row r="109" spans="1:6" x14ac:dyDescent="0.3">
      <c r="A109" s="102">
        <v>16376</v>
      </c>
      <c r="B109" s="97" t="s">
        <v>110</v>
      </c>
      <c r="C109" s="94">
        <v>397.1</v>
      </c>
      <c r="D109" s="4" t="s">
        <v>25</v>
      </c>
      <c r="E109" s="6">
        <v>46129</v>
      </c>
      <c r="F109" s="12"/>
    </row>
    <row r="110" spans="1:6" x14ac:dyDescent="0.3">
      <c r="A110" s="101">
        <v>16377</v>
      </c>
      <c r="B110" s="92" t="s">
        <v>363</v>
      </c>
      <c r="C110" s="94">
        <v>1105.1400000000001</v>
      </c>
      <c r="D110" s="4" t="s">
        <v>25</v>
      </c>
      <c r="E110" s="6">
        <v>46129</v>
      </c>
      <c r="F110" s="12"/>
    </row>
    <row r="111" spans="1:6" x14ac:dyDescent="0.3">
      <c r="A111" s="101">
        <v>16383</v>
      </c>
      <c r="B111" s="92" t="s">
        <v>708</v>
      </c>
      <c r="C111" s="94">
        <v>1680</v>
      </c>
      <c r="D111" s="4" t="s">
        <v>25</v>
      </c>
      <c r="E111" s="6">
        <v>46129</v>
      </c>
      <c r="F111" s="12"/>
    </row>
    <row r="112" spans="1:6" x14ac:dyDescent="0.3">
      <c r="A112" s="25">
        <v>16384</v>
      </c>
      <c r="B112" s="92" t="s">
        <v>566</v>
      </c>
      <c r="C112" s="28">
        <v>2222.41</v>
      </c>
      <c r="D112" s="4" t="s">
        <v>25</v>
      </c>
      <c r="E112" s="6">
        <v>46129</v>
      </c>
      <c r="F112" s="12"/>
    </row>
    <row r="113" spans="1:6" x14ac:dyDescent="0.3">
      <c r="A113" s="101">
        <v>16388</v>
      </c>
      <c r="B113" s="92" t="s">
        <v>342</v>
      </c>
      <c r="C113" s="94">
        <v>716</v>
      </c>
      <c r="D113" s="4" t="s">
        <v>13</v>
      </c>
      <c r="E113" s="6">
        <v>46129</v>
      </c>
      <c r="F113" s="12"/>
    </row>
    <row r="114" spans="1:6" x14ac:dyDescent="0.3">
      <c r="A114" s="101">
        <v>16389</v>
      </c>
      <c r="B114" s="92" t="s">
        <v>709</v>
      </c>
      <c r="C114" s="94">
        <v>3289</v>
      </c>
      <c r="D114" s="4" t="s">
        <v>50</v>
      </c>
      <c r="E114" s="6">
        <v>46129</v>
      </c>
      <c r="F114" s="12" t="s">
        <v>697</v>
      </c>
    </row>
    <row r="115" spans="1:6" x14ac:dyDescent="0.3">
      <c r="A115" s="101">
        <v>16391</v>
      </c>
      <c r="B115" s="92" t="s">
        <v>710</v>
      </c>
      <c r="C115" s="94">
        <v>4000</v>
      </c>
      <c r="D115" s="4" t="s">
        <v>50</v>
      </c>
      <c r="E115" s="6">
        <v>46129</v>
      </c>
      <c r="F115" s="12" t="s">
        <v>697</v>
      </c>
    </row>
    <row r="116" spans="1:6" x14ac:dyDescent="0.3">
      <c r="A116" s="101">
        <v>16392</v>
      </c>
      <c r="B116" s="92" t="s">
        <v>711</v>
      </c>
      <c r="C116" s="94">
        <v>3000</v>
      </c>
      <c r="D116" s="4" t="s">
        <v>50</v>
      </c>
      <c r="E116" s="6">
        <v>46129</v>
      </c>
      <c r="F116" s="12" t="s">
        <v>697</v>
      </c>
    </row>
    <row r="117" spans="1:6" x14ac:dyDescent="0.3">
      <c r="A117" s="101">
        <v>16393</v>
      </c>
      <c r="B117" s="92" t="s">
        <v>713</v>
      </c>
      <c r="C117" s="94">
        <v>20500</v>
      </c>
      <c r="D117" s="4" t="s">
        <v>50</v>
      </c>
      <c r="E117" s="6">
        <v>46129</v>
      </c>
      <c r="F117" s="12" t="s">
        <v>697</v>
      </c>
    </row>
    <row r="118" spans="1:6" x14ac:dyDescent="0.3">
      <c r="A118" s="101">
        <v>16395</v>
      </c>
      <c r="B118" s="92" t="s">
        <v>712</v>
      </c>
      <c r="C118" s="94">
        <v>5925</v>
      </c>
      <c r="D118" s="4" t="s">
        <v>50</v>
      </c>
      <c r="E118" s="6">
        <v>46129</v>
      </c>
      <c r="F118" s="12" t="s">
        <v>697</v>
      </c>
    </row>
    <row r="119" spans="1:6" x14ac:dyDescent="0.3">
      <c r="A119" s="101">
        <v>16406</v>
      </c>
      <c r="B119" s="92" t="s">
        <v>714</v>
      </c>
      <c r="C119" s="94">
        <v>9584.1</v>
      </c>
      <c r="D119" s="4" t="s">
        <v>13</v>
      </c>
      <c r="E119" s="6">
        <v>46129</v>
      </c>
      <c r="F119" s="12"/>
    </row>
    <row r="120" spans="1:6" x14ac:dyDescent="0.3">
      <c r="A120" s="101">
        <v>16411</v>
      </c>
      <c r="B120" s="92" t="s">
        <v>715</v>
      </c>
      <c r="C120" s="94">
        <v>13105</v>
      </c>
      <c r="D120" s="9" t="s">
        <v>16</v>
      </c>
      <c r="E120" s="6">
        <v>46132</v>
      </c>
      <c r="F120" s="12"/>
    </row>
    <row r="121" spans="1:6" x14ac:dyDescent="0.3">
      <c r="A121" s="101">
        <v>16401</v>
      </c>
      <c r="B121" s="92" t="s">
        <v>716</v>
      </c>
      <c r="C121" s="94">
        <v>381.48</v>
      </c>
      <c r="D121" s="4" t="s">
        <v>25</v>
      </c>
      <c r="E121" s="6">
        <v>46132</v>
      </c>
      <c r="F121" s="12"/>
    </row>
    <row r="122" spans="1:6" x14ac:dyDescent="0.3">
      <c r="A122" s="101">
        <v>16404</v>
      </c>
      <c r="B122" s="92" t="s">
        <v>717</v>
      </c>
      <c r="C122" s="94">
        <v>760.57</v>
      </c>
      <c r="D122" s="4" t="s">
        <v>25</v>
      </c>
      <c r="E122" s="6">
        <v>46132</v>
      </c>
      <c r="F122" s="12"/>
    </row>
    <row r="123" spans="1:6" x14ac:dyDescent="0.3">
      <c r="A123" s="101">
        <v>16409</v>
      </c>
      <c r="B123" s="92" t="s">
        <v>718</v>
      </c>
      <c r="C123" s="94">
        <v>366.63</v>
      </c>
      <c r="D123" s="4" t="s">
        <v>25</v>
      </c>
      <c r="E123" s="6">
        <v>46132</v>
      </c>
      <c r="F123" s="12"/>
    </row>
    <row r="124" spans="1:6" x14ac:dyDescent="0.3">
      <c r="A124" s="101">
        <v>16410</v>
      </c>
      <c r="B124" s="92" t="s">
        <v>719</v>
      </c>
      <c r="C124" s="94">
        <v>524.26</v>
      </c>
      <c r="D124" s="4" t="s">
        <v>25</v>
      </c>
      <c r="E124" s="6">
        <v>46132</v>
      </c>
      <c r="F124" s="31"/>
    </row>
    <row r="125" spans="1:6" x14ac:dyDescent="0.3">
      <c r="A125" s="101">
        <v>16412</v>
      </c>
      <c r="B125" s="92" t="s">
        <v>720</v>
      </c>
      <c r="C125" s="94">
        <v>9539.2000000000007</v>
      </c>
      <c r="D125" s="4" t="s">
        <v>10</v>
      </c>
      <c r="E125" s="6">
        <v>46132</v>
      </c>
      <c r="F125" s="12" t="s">
        <v>763</v>
      </c>
    </row>
    <row r="126" spans="1:6" x14ac:dyDescent="0.3">
      <c r="A126" s="101">
        <v>16413</v>
      </c>
      <c r="B126" s="92" t="s">
        <v>721</v>
      </c>
      <c r="C126" s="94">
        <v>5431.5</v>
      </c>
      <c r="D126" s="4" t="s">
        <v>16</v>
      </c>
      <c r="E126" s="6">
        <v>46132</v>
      </c>
      <c r="F126" s="12"/>
    </row>
    <row r="127" spans="1:6" x14ac:dyDescent="0.3">
      <c r="A127" s="101">
        <v>16414</v>
      </c>
      <c r="B127" s="92" t="s">
        <v>722</v>
      </c>
      <c r="C127" s="94">
        <v>20520</v>
      </c>
      <c r="D127" s="4" t="s">
        <v>16</v>
      </c>
      <c r="E127" s="6">
        <v>46132</v>
      </c>
      <c r="F127" s="12"/>
    </row>
    <row r="128" spans="1:6" x14ac:dyDescent="0.3">
      <c r="A128" s="101">
        <v>16415</v>
      </c>
      <c r="B128" s="92" t="s">
        <v>723</v>
      </c>
      <c r="C128" s="94">
        <v>4754</v>
      </c>
      <c r="D128" s="9" t="s">
        <v>13</v>
      </c>
      <c r="E128" s="6">
        <v>46132</v>
      </c>
      <c r="F128" s="12"/>
    </row>
    <row r="129" spans="1:6" x14ac:dyDescent="0.3">
      <c r="A129" s="101">
        <v>16417</v>
      </c>
      <c r="B129" s="92" t="s">
        <v>650</v>
      </c>
      <c r="C129" s="94">
        <v>3625</v>
      </c>
      <c r="D129" s="9" t="s">
        <v>13</v>
      </c>
      <c r="E129" s="6">
        <v>46132</v>
      </c>
      <c r="F129" s="12"/>
    </row>
    <row r="130" spans="1:6" x14ac:dyDescent="0.3">
      <c r="A130" s="101">
        <v>16419</v>
      </c>
      <c r="B130" s="92" t="s">
        <v>725</v>
      </c>
      <c r="C130" s="94">
        <v>3497</v>
      </c>
      <c r="D130" s="4" t="s">
        <v>16</v>
      </c>
      <c r="E130" s="6">
        <v>46132</v>
      </c>
      <c r="F130" s="12" t="s">
        <v>729</v>
      </c>
    </row>
    <row r="131" spans="1:6" x14ac:dyDescent="0.3">
      <c r="A131" s="101">
        <v>16422</v>
      </c>
      <c r="B131" s="92" t="s">
        <v>726</v>
      </c>
      <c r="C131" s="94">
        <v>588</v>
      </c>
      <c r="D131" s="9" t="s">
        <v>16</v>
      </c>
      <c r="E131" s="6">
        <v>46132</v>
      </c>
      <c r="F131" s="12" t="s">
        <v>730</v>
      </c>
    </row>
    <row r="132" spans="1:6" x14ac:dyDescent="0.3">
      <c r="A132" s="101">
        <v>16426</v>
      </c>
      <c r="B132" s="92" t="s">
        <v>727</v>
      </c>
      <c r="C132" s="94">
        <v>12792</v>
      </c>
      <c r="D132" s="9" t="s">
        <v>16</v>
      </c>
      <c r="E132" s="6">
        <v>46132</v>
      </c>
      <c r="F132" s="12"/>
    </row>
    <row r="133" spans="1:6" x14ac:dyDescent="0.3">
      <c r="A133" s="92">
        <v>16427</v>
      </c>
      <c r="B133" s="92" t="s">
        <v>728</v>
      </c>
      <c r="C133" s="94">
        <v>16674</v>
      </c>
      <c r="D133" s="9" t="s">
        <v>13</v>
      </c>
      <c r="E133" s="6">
        <v>46132</v>
      </c>
      <c r="F133" s="12"/>
    </row>
    <row r="134" spans="1:6" x14ac:dyDescent="0.3">
      <c r="A134" s="21">
        <v>16428</v>
      </c>
      <c r="B134" s="92" t="s">
        <v>549</v>
      </c>
      <c r="C134" s="94">
        <v>4500</v>
      </c>
      <c r="D134" s="4" t="s">
        <v>16</v>
      </c>
      <c r="E134" s="6">
        <v>46132</v>
      </c>
      <c r="F134" s="12"/>
    </row>
    <row r="135" spans="1:6" x14ac:dyDescent="0.3">
      <c r="A135" s="92">
        <v>16447</v>
      </c>
      <c r="B135" s="92" t="s">
        <v>731</v>
      </c>
      <c r="C135" s="94">
        <v>10320</v>
      </c>
      <c r="D135" s="9" t="s">
        <v>13</v>
      </c>
      <c r="E135" s="6">
        <v>46134</v>
      </c>
      <c r="F135" s="12" t="s">
        <v>732</v>
      </c>
    </row>
    <row r="136" spans="1:6" x14ac:dyDescent="0.3">
      <c r="A136" s="101">
        <v>16451</v>
      </c>
      <c r="B136" s="92" t="s">
        <v>733</v>
      </c>
      <c r="C136" s="94">
        <v>3672</v>
      </c>
      <c r="D136" s="4" t="s">
        <v>16</v>
      </c>
      <c r="E136" s="6">
        <v>46134</v>
      </c>
      <c r="F136" s="12"/>
    </row>
    <row r="137" spans="1:6" x14ac:dyDescent="0.3">
      <c r="A137" s="101">
        <v>16423</v>
      </c>
      <c r="B137" s="92" t="s">
        <v>671</v>
      </c>
      <c r="C137" s="94">
        <v>127.16</v>
      </c>
      <c r="D137" s="9" t="s">
        <v>25</v>
      </c>
      <c r="E137" s="6">
        <v>46134</v>
      </c>
      <c r="F137" s="12"/>
    </row>
    <row r="138" spans="1:6" x14ac:dyDescent="0.3">
      <c r="A138" s="101">
        <v>16424</v>
      </c>
      <c r="B138" s="92" t="s">
        <v>362</v>
      </c>
      <c r="C138" s="94">
        <v>99</v>
      </c>
      <c r="D138" s="9" t="s">
        <v>25</v>
      </c>
      <c r="E138" s="6">
        <v>46134</v>
      </c>
      <c r="F138" s="12"/>
    </row>
    <row r="139" spans="1:6" x14ac:dyDescent="0.3">
      <c r="A139" s="101">
        <v>16437</v>
      </c>
      <c r="B139" s="92" t="s">
        <v>734</v>
      </c>
      <c r="C139" s="94">
        <v>71.900000000000006</v>
      </c>
      <c r="D139" s="9" t="s">
        <v>25</v>
      </c>
      <c r="E139" s="6">
        <v>46134</v>
      </c>
      <c r="F139" s="12"/>
    </row>
    <row r="140" spans="1:6" x14ac:dyDescent="0.3">
      <c r="A140" s="92">
        <v>16444</v>
      </c>
      <c r="B140" s="92" t="s">
        <v>692</v>
      </c>
      <c r="C140" s="94">
        <v>4500</v>
      </c>
      <c r="D140" s="9" t="s">
        <v>10</v>
      </c>
      <c r="E140" s="6">
        <v>46134</v>
      </c>
      <c r="F140" s="12"/>
    </row>
    <row r="141" spans="1:6" ht="15.75" customHeight="1" x14ac:dyDescent="0.3">
      <c r="A141" s="92">
        <v>16457</v>
      </c>
      <c r="B141" s="92" t="s">
        <v>735</v>
      </c>
      <c r="C141" s="94">
        <v>3992</v>
      </c>
      <c r="D141" s="9" t="s">
        <v>10</v>
      </c>
      <c r="E141" s="6">
        <v>46134</v>
      </c>
      <c r="F141" s="12"/>
    </row>
    <row r="142" spans="1:6" x14ac:dyDescent="0.3">
      <c r="A142" s="101">
        <v>16467</v>
      </c>
      <c r="B142" s="92" t="s">
        <v>736</v>
      </c>
      <c r="C142" s="94">
        <v>14000</v>
      </c>
      <c r="D142" s="9" t="s">
        <v>16</v>
      </c>
      <c r="E142" s="6">
        <v>46134</v>
      </c>
      <c r="F142" s="12" t="s">
        <v>20</v>
      </c>
    </row>
    <row r="143" spans="1:6" x14ac:dyDescent="0.3">
      <c r="A143" s="101">
        <v>16468</v>
      </c>
      <c r="B143" s="92" t="s">
        <v>737</v>
      </c>
      <c r="C143" s="94">
        <v>6490</v>
      </c>
      <c r="D143" s="9" t="s">
        <v>16</v>
      </c>
      <c r="E143" s="6">
        <v>46134</v>
      </c>
      <c r="F143" s="12"/>
    </row>
    <row r="144" spans="1:6" x14ac:dyDescent="0.3">
      <c r="A144" s="27">
        <v>16471</v>
      </c>
      <c r="B144" s="92" t="s">
        <v>738</v>
      </c>
      <c r="C144" s="30">
        <v>11610</v>
      </c>
      <c r="D144" s="9" t="s">
        <v>16</v>
      </c>
      <c r="E144" s="6">
        <v>46135</v>
      </c>
      <c r="F144" s="12" t="s">
        <v>739</v>
      </c>
    </row>
    <row r="145" spans="1:6" x14ac:dyDescent="0.3">
      <c r="A145" s="101">
        <v>16475</v>
      </c>
      <c r="B145" s="92" t="s">
        <v>675</v>
      </c>
      <c r="C145" s="94">
        <v>1361.58</v>
      </c>
      <c r="D145" s="9" t="s">
        <v>25</v>
      </c>
      <c r="E145" s="6">
        <v>46135</v>
      </c>
      <c r="F145" s="12"/>
    </row>
    <row r="146" spans="1:6" x14ac:dyDescent="0.3">
      <c r="A146" s="101">
        <v>16476</v>
      </c>
      <c r="B146" s="92" t="s">
        <v>566</v>
      </c>
      <c r="C146" s="94">
        <v>20.36</v>
      </c>
      <c r="D146" s="9" t="s">
        <v>25</v>
      </c>
      <c r="E146" s="6">
        <v>46135</v>
      </c>
      <c r="F146" s="12"/>
    </row>
    <row r="147" spans="1:6" x14ac:dyDescent="0.3">
      <c r="A147" s="103">
        <v>16477</v>
      </c>
      <c r="B147" s="98" t="s">
        <v>740</v>
      </c>
      <c r="C147" s="100">
        <v>30.54</v>
      </c>
      <c r="D147" s="9" t="s">
        <v>25</v>
      </c>
      <c r="E147" s="6">
        <v>46135</v>
      </c>
      <c r="F147" s="12"/>
    </row>
    <row r="148" spans="1:6" x14ac:dyDescent="0.3">
      <c r="A148" s="103">
        <v>16487</v>
      </c>
      <c r="B148" s="113">
        <v>49435658</v>
      </c>
      <c r="C148" s="100">
        <v>15210</v>
      </c>
      <c r="D148" s="9" t="s">
        <v>13</v>
      </c>
      <c r="E148" s="6">
        <v>46135</v>
      </c>
      <c r="F148" s="12"/>
    </row>
    <row r="149" spans="1:6" x14ac:dyDescent="0.3">
      <c r="A149" s="103">
        <v>16502</v>
      </c>
      <c r="B149" s="98" t="s">
        <v>741</v>
      </c>
      <c r="C149" s="100">
        <v>324.35000000000002</v>
      </c>
      <c r="D149" s="15" t="s">
        <v>16</v>
      </c>
      <c r="E149" s="6">
        <v>46135</v>
      </c>
      <c r="F149" s="12"/>
    </row>
    <row r="150" spans="1:6" x14ac:dyDescent="0.3">
      <c r="A150" s="103">
        <v>16523</v>
      </c>
      <c r="B150" s="98" t="s">
        <v>742</v>
      </c>
      <c r="C150" s="100">
        <v>9900</v>
      </c>
      <c r="D150" s="9" t="s">
        <v>10</v>
      </c>
      <c r="E150" s="6">
        <v>46135</v>
      </c>
      <c r="F150" s="12"/>
    </row>
    <row r="151" spans="1:6" x14ac:dyDescent="0.3">
      <c r="A151" s="103">
        <v>16511</v>
      </c>
      <c r="B151" s="98" t="s">
        <v>743</v>
      </c>
      <c r="C151" s="100">
        <v>37530</v>
      </c>
      <c r="D151" s="9" t="s">
        <v>13</v>
      </c>
      <c r="E151" s="6">
        <v>46136</v>
      </c>
      <c r="F151" s="12"/>
    </row>
    <row r="152" spans="1:6" x14ac:dyDescent="0.3">
      <c r="A152" s="101">
        <v>16516</v>
      </c>
      <c r="B152" s="92" t="s">
        <v>197</v>
      </c>
      <c r="C152" s="94">
        <v>9584.1</v>
      </c>
      <c r="D152" s="9" t="s">
        <v>16</v>
      </c>
      <c r="E152" s="6">
        <v>46136</v>
      </c>
      <c r="F152" s="12"/>
    </row>
    <row r="153" spans="1:6" x14ac:dyDescent="0.3">
      <c r="A153" s="105">
        <v>16515</v>
      </c>
      <c r="B153" s="98" t="s">
        <v>744</v>
      </c>
      <c r="C153" s="106">
        <v>414</v>
      </c>
      <c r="D153" s="9" t="s">
        <v>13</v>
      </c>
      <c r="E153" s="6">
        <v>46136</v>
      </c>
      <c r="F153" s="12"/>
    </row>
    <row r="154" spans="1:6" x14ac:dyDescent="0.3">
      <c r="A154" s="107">
        <v>16521</v>
      </c>
      <c r="B154" s="98" t="s">
        <v>745</v>
      </c>
      <c r="C154" s="108">
        <v>5310</v>
      </c>
      <c r="D154" s="9" t="s">
        <v>16</v>
      </c>
      <c r="E154" s="6">
        <v>46136</v>
      </c>
      <c r="F154" s="12"/>
    </row>
    <row r="155" spans="1:6" x14ac:dyDescent="0.3">
      <c r="A155" s="103">
        <v>16522</v>
      </c>
      <c r="B155" s="98" t="s">
        <v>746</v>
      </c>
      <c r="C155" s="100">
        <v>12792</v>
      </c>
      <c r="D155" s="9" t="s">
        <v>16</v>
      </c>
      <c r="E155" s="6">
        <v>46136</v>
      </c>
      <c r="F155" s="12"/>
    </row>
    <row r="156" spans="1:6" x14ac:dyDescent="0.3">
      <c r="A156" s="103">
        <v>16525</v>
      </c>
      <c r="B156" s="98" t="s">
        <v>747</v>
      </c>
      <c r="C156" s="100">
        <v>34490</v>
      </c>
      <c r="D156" s="9" t="s">
        <v>16</v>
      </c>
      <c r="E156" s="6">
        <v>46136</v>
      </c>
      <c r="F156" s="12" t="s">
        <v>451</v>
      </c>
    </row>
    <row r="157" spans="1:6" x14ac:dyDescent="0.3">
      <c r="A157" s="103">
        <v>16526</v>
      </c>
      <c r="B157" s="98" t="s">
        <v>748</v>
      </c>
      <c r="C157" s="100">
        <v>11800</v>
      </c>
      <c r="D157" s="9" t="s">
        <v>13</v>
      </c>
      <c r="E157" s="6">
        <v>46136</v>
      </c>
      <c r="F157" s="12"/>
    </row>
    <row r="158" spans="1:6" x14ac:dyDescent="0.3">
      <c r="A158" s="103">
        <v>16495</v>
      </c>
      <c r="B158" s="98" t="s">
        <v>610</v>
      </c>
      <c r="C158" s="100">
        <v>10.18</v>
      </c>
      <c r="D158" s="9" t="s">
        <v>25</v>
      </c>
      <c r="E158" s="6">
        <v>46136</v>
      </c>
      <c r="F158" s="12"/>
    </row>
    <row r="159" spans="1:6" x14ac:dyDescent="0.3">
      <c r="A159" s="98">
        <v>16496</v>
      </c>
      <c r="B159" s="98" t="s">
        <v>749</v>
      </c>
      <c r="C159" s="100">
        <v>10.18</v>
      </c>
      <c r="D159" s="9" t="s">
        <v>25</v>
      </c>
      <c r="E159" s="6">
        <v>46136</v>
      </c>
      <c r="F159" s="12"/>
    </row>
    <row r="160" spans="1:6" x14ac:dyDescent="0.3">
      <c r="A160" s="103">
        <v>16497</v>
      </c>
      <c r="B160" s="98" t="s">
        <v>750</v>
      </c>
      <c r="C160" s="100">
        <v>20.36</v>
      </c>
      <c r="D160" s="9" t="s">
        <v>25</v>
      </c>
      <c r="E160" s="6">
        <v>46136</v>
      </c>
      <c r="F160" s="12"/>
    </row>
    <row r="161" spans="1:6" x14ac:dyDescent="0.3">
      <c r="A161" s="103">
        <v>16499</v>
      </c>
      <c r="B161" s="98" t="s">
        <v>363</v>
      </c>
      <c r="C161" s="100">
        <v>89</v>
      </c>
      <c r="D161" s="9" t="s">
        <v>25</v>
      </c>
      <c r="E161" s="6">
        <v>46136</v>
      </c>
      <c r="F161" s="31"/>
    </row>
    <row r="162" spans="1:6" x14ac:dyDescent="0.3">
      <c r="A162" s="103">
        <v>16505</v>
      </c>
      <c r="B162" s="98" t="s">
        <v>751</v>
      </c>
      <c r="C162" s="100">
        <v>225.05</v>
      </c>
      <c r="D162" s="9" t="s">
        <v>25</v>
      </c>
      <c r="E162" s="6">
        <v>46136</v>
      </c>
      <c r="F162" s="12"/>
    </row>
    <row r="163" spans="1:6" x14ac:dyDescent="0.3">
      <c r="A163" s="103">
        <v>16512</v>
      </c>
      <c r="B163" s="98" t="s">
        <v>752</v>
      </c>
      <c r="C163" s="100">
        <v>20.36</v>
      </c>
      <c r="D163" s="9" t="s">
        <v>25</v>
      </c>
      <c r="E163" s="6">
        <v>46136</v>
      </c>
      <c r="F163" s="12"/>
    </row>
    <row r="164" spans="1:6" x14ac:dyDescent="0.3">
      <c r="A164" s="103">
        <v>16513</v>
      </c>
      <c r="B164" s="98" t="s">
        <v>508</v>
      </c>
      <c r="C164" s="100">
        <v>63.58</v>
      </c>
      <c r="D164" s="9" t="s">
        <v>25</v>
      </c>
      <c r="E164" s="6">
        <v>46136</v>
      </c>
      <c r="F164" s="12"/>
    </row>
    <row r="165" spans="1:6" x14ac:dyDescent="0.3">
      <c r="A165" s="103">
        <v>16519</v>
      </c>
      <c r="B165" s="98" t="s">
        <v>753</v>
      </c>
      <c r="C165" s="100">
        <v>20.36</v>
      </c>
      <c r="D165" s="9" t="s">
        <v>25</v>
      </c>
      <c r="E165" s="6">
        <v>46136</v>
      </c>
      <c r="F165" s="12"/>
    </row>
    <row r="166" spans="1:6" x14ac:dyDescent="0.3">
      <c r="A166" s="103">
        <v>16530</v>
      </c>
      <c r="B166" s="98" t="s">
        <v>754</v>
      </c>
      <c r="C166" s="100">
        <v>3990</v>
      </c>
      <c r="D166" s="9" t="s">
        <v>13</v>
      </c>
      <c r="E166" s="6">
        <v>46136</v>
      </c>
      <c r="F166" s="12" t="s">
        <v>223</v>
      </c>
    </row>
    <row r="167" spans="1:6" x14ac:dyDescent="0.3">
      <c r="A167" s="103">
        <v>16531</v>
      </c>
      <c r="B167" s="98" t="s">
        <v>154</v>
      </c>
      <c r="C167" s="100">
        <v>11352</v>
      </c>
      <c r="D167" s="9" t="s">
        <v>16</v>
      </c>
      <c r="E167" s="6">
        <v>46136</v>
      </c>
      <c r="F167" s="12" t="s">
        <v>739</v>
      </c>
    </row>
    <row r="168" spans="1:6" x14ac:dyDescent="0.3">
      <c r="A168" s="103">
        <v>16506</v>
      </c>
      <c r="B168" s="98" t="s">
        <v>756</v>
      </c>
      <c r="C168" s="100">
        <v>633.41</v>
      </c>
      <c r="D168" s="9" t="s">
        <v>25</v>
      </c>
      <c r="E168" s="6">
        <v>46139</v>
      </c>
      <c r="F168" s="12"/>
    </row>
    <row r="169" spans="1:6" x14ac:dyDescent="0.3">
      <c r="A169" s="103">
        <v>16527</v>
      </c>
      <c r="B169" s="98" t="s">
        <v>757</v>
      </c>
      <c r="C169" s="100">
        <v>99</v>
      </c>
      <c r="D169" s="9" t="s">
        <v>25</v>
      </c>
      <c r="E169" s="6">
        <v>46139</v>
      </c>
      <c r="F169" s="31"/>
    </row>
    <row r="170" spans="1:6" x14ac:dyDescent="0.3">
      <c r="A170" s="103">
        <v>16528</v>
      </c>
      <c r="B170" s="98" t="s">
        <v>373</v>
      </c>
      <c r="C170" s="100">
        <v>129</v>
      </c>
      <c r="D170" s="9" t="s">
        <v>25</v>
      </c>
      <c r="E170" s="6">
        <v>46139</v>
      </c>
      <c r="F170" s="12"/>
    </row>
    <row r="171" spans="1:6" x14ac:dyDescent="0.3">
      <c r="A171" s="103">
        <v>16529</v>
      </c>
      <c r="B171" s="98" t="s">
        <v>528</v>
      </c>
      <c r="C171" s="100">
        <v>573.69000000000005</v>
      </c>
      <c r="D171" s="9" t="s">
        <v>25</v>
      </c>
      <c r="E171" s="6">
        <v>46139</v>
      </c>
      <c r="F171" s="12"/>
    </row>
    <row r="172" spans="1:6" x14ac:dyDescent="0.3">
      <c r="A172" s="103">
        <v>16532</v>
      </c>
      <c r="B172" s="98" t="s">
        <v>758</v>
      </c>
      <c r="C172" s="100">
        <v>4390</v>
      </c>
      <c r="D172" s="9" t="s">
        <v>25</v>
      </c>
      <c r="E172" s="6">
        <v>46139</v>
      </c>
      <c r="F172" s="12"/>
    </row>
    <row r="173" spans="1:6" x14ac:dyDescent="0.3">
      <c r="A173" s="103">
        <v>16533</v>
      </c>
      <c r="B173" s="98" t="s">
        <v>759</v>
      </c>
      <c r="C173" s="100">
        <v>127.16</v>
      </c>
      <c r="D173" s="9" t="s">
        <v>25</v>
      </c>
      <c r="E173" s="6">
        <v>46139</v>
      </c>
      <c r="F173" s="12"/>
    </row>
    <row r="174" spans="1:6" x14ac:dyDescent="0.3">
      <c r="A174" s="103">
        <v>16537</v>
      </c>
      <c r="B174" s="98" t="s">
        <v>755</v>
      </c>
      <c r="C174" s="100">
        <v>14000</v>
      </c>
      <c r="D174" s="15" t="s">
        <v>10</v>
      </c>
      <c r="E174" s="6">
        <v>46139</v>
      </c>
      <c r="F174" s="12"/>
    </row>
    <row r="175" spans="1:6" x14ac:dyDescent="0.3">
      <c r="A175" s="103">
        <v>16545</v>
      </c>
      <c r="B175" s="98" t="s">
        <v>760</v>
      </c>
      <c r="C175" s="100">
        <v>12700</v>
      </c>
      <c r="D175" s="15" t="s">
        <v>10</v>
      </c>
      <c r="E175" s="6">
        <v>46139</v>
      </c>
      <c r="F175" s="12" t="s">
        <v>761</v>
      </c>
    </row>
    <row r="176" spans="1:6" x14ac:dyDescent="0.3">
      <c r="A176" s="103">
        <v>16554</v>
      </c>
      <c r="B176" s="98" t="s">
        <v>764</v>
      </c>
      <c r="C176" s="100">
        <v>10280</v>
      </c>
      <c r="D176" s="15" t="s">
        <v>16</v>
      </c>
      <c r="E176" s="6">
        <v>46139</v>
      </c>
      <c r="F176" s="12" t="s">
        <v>761</v>
      </c>
    </row>
    <row r="177" spans="1:6" x14ac:dyDescent="0.3">
      <c r="A177" s="103">
        <v>16555</v>
      </c>
      <c r="B177" s="98" t="s">
        <v>765</v>
      </c>
      <c r="C177" s="100">
        <v>261</v>
      </c>
      <c r="D177" s="15" t="s">
        <v>16</v>
      </c>
      <c r="E177" s="6">
        <v>46139</v>
      </c>
      <c r="F177" s="12" t="s">
        <v>739</v>
      </c>
    </row>
    <row r="178" spans="1:6" x14ac:dyDescent="0.3">
      <c r="A178" s="103">
        <v>16558</v>
      </c>
      <c r="B178" s="98" t="s">
        <v>766</v>
      </c>
      <c r="C178" s="100">
        <v>3500</v>
      </c>
      <c r="D178" s="15" t="s">
        <v>10</v>
      </c>
      <c r="E178" s="6">
        <v>46139</v>
      </c>
      <c r="F178" s="12"/>
    </row>
    <row r="179" spans="1:6" x14ac:dyDescent="0.3">
      <c r="A179" s="103">
        <v>16562</v>
      </c>
      <c r="B179" s="98" t="s">
        <v>767</v>
      </c>
      <c r="C179" s="100">
        <v>2152</v>
      </c>
      <c r="D179" s="15" t="s">
        <v>13</v>
      </c>
      <c r="E179" s="6">
        <v>46139</v>
      </c>
      <c r="F179" s="12"/>
    </row>
    <row r="180" spans="1:6" x14ac:dyDescent="0.3">
      <c r="A180" s="103">
        <v>16563</v>
      </c>
      <c r="B180" s="98" t="s">
        <v>767</v>
      </c>
      <c r="C180" s="100">
        <v>345</v>
      </c>
      <c r="D180" s="15" t="s">
        <v>13</v>
      </c>
      <c r="E180" s="6">
        <v>46139</v>
      </c>
      <c r="F180" s="12"/>
    </row>
    <row r="181" spans="1:6" x14ac:dyDescent="0.3">
      <c r="A181" s="103">
        <v>16567</v>
      </c>
      <c r="B181" s="98" t="s">
        <v>768</v>
      </c>
      <c r="C181" s="100">
        <v>230</v>
      </c>
      <c r="D181" s="15" t="s">
        <v>16</v>
      </c>
      <c r="E181" s="6">
        <v>46139</v>
      </c>
      <c r="F181" s="12"/>
    </row>
    <row r="182" spans="1:6" x14ac:dyDescent="0.3">
      <c r="A182" s="103">
        <v>16571</v>
      </c>
      <c r="B182" s="98" t="s">
        <v>769</v>
      </c>
      <c r="C182" s="100">
        <v>11565</v>
      </c>
      <c r="D182" s="15" t="s">
        <v>10</v>
      </c>
      <c r="E182" s="6">
        <v>46140</v>
      </c>
      <c r="F182" s="12"/>
    </row>
    <row r="183" spans="1:6" x14ac:dyDescent="0.3">
      <c r="A183" s="103">
        <v>16559</v>
      </c>
      <c r="B183" s="98" t="s">
        <v>770</v>
      </c>
      <c r="C183" s="100">
        <v>49</v>
      </c>
      <c r="D183" s="9" t="s">
        <v>25</v>
      </c>
      <c r="E183" s="6">
        <v>46140</v>
      </c>
      <c r="F183" s="12"/>
    </row>
    <row r="184" spans="1:6" x14ac:dyDescent="0.3">
      <c r="A184" s="103">
        <v>16560</v>
      </c>
      <c r="B184" s="98" t="s">
        <v>771</v>
      </c>
      <c r="C184" s="100">
        <v>20.3</v>
      </c>
      <c r="D184" s="9" t="s">
        <v>25</v>
      </c>
      <c r="E184" s="6">
        <v>46140</v>
      </c>
      <c r="F184" s="12"/>
    </row>
    <row r="185" spans="1:6" x14ac:dyDescent="0.3">
      <c r="A185" s="103">
        <v>16574</v>
      </c>
      <c r="B185" s="98" t="s">
        <v>772</v>
      </c>
      <c r="C185" s="100">
        <v>17910</v>
      </c>
      <c r="D185" s="15" t="s">
        <v>13</v>
      </c>
      <c r="E185" s="6">
        <v>46140</v>
      </c>
      <c r="F185" s="12"/>
    </row>
    <row r="186" spans="1:6" x14ac:dyDescent="0.3">
      <c r="A186" s="103">
        <v>16575</v>
      </c>
      <c r="B186" s="98" t="s">
        <v>773</v>
      </c>
      <c r="C186" s="100">
        <v>297</v>
      </c>
      <c r="D186" s="15" t="s">
        <v>13</v>
      </c>
      <c r="E186" s="6">
        <v>46140</v>
      </c>
      <c r="F186" s="12"/>
    </row>
    <row r="187" spans="1:6" x14ac:dyDescent="0.3">
      <c r="A187" s="103">
        <v>16576</v>
      </c>
      <c r="B187" s="98" t="s">
        <v>774</v>
      </c>
      <c r="C187" s="100">
        <v>5055</v>
      </c>
      <c r="D187" s="15" t="s">
        <v>10</v>
      </c>
      <c r="E187" s="6">
        <v>46140</v>
      </c>
      <c r="F187" s="12"/>
    </row>
    <row r="188" spans="1:6" x14ac:dyDescent="0.3">
      <c r="A188" s="103">
        <v>16580</v>
      </c>
      <c r="B188" s="98" t="s">
        <v>775</v>
      </c>
      <c r="C188" s="100">
        <v>6210</v>
      </c>
      <c r="D188" s="9" t="s">
        <v>16</v>
      </c>
      <c r="E188" s="6">
        <v>46140</v>
      </c>
      <c r="F188" s="12" t="s">
        <v>739</v>
      </c>
    </row>
    <row r="189" spans="1:6" x14ac:dyDescent="0.3">
      <c r="A189" s="103">
        <v>16604</v>
      </c>
      <c r="B189" s="98" t="s">
        <v>776</v>
      </c>
      <c r="C189" s="100">
        <v>3700</v>
      </c>
      <c r="D189" s="15" t="s">
        <v>10</v>
      </c>
      <c r="E189" s="6">
        <v>46140</v>
      </c>
      <c r="F189" s="12" t="s">
        <v>777</v>
      </c>
    </row>
    <row r="190" spans="1:6" x14ac:dyDescent="0.3">
      <c r="A190" s="103">
        <v>16585</v>
      </c>
      <c r="B190" s="98" t="s">
        <v>778</v>
      </c>
      <c r="C190" s="100">
        <v>16585</v>
      </c>
      <c r="D190" s="9" t="s">
        <v>16</v>
      </c>
      <c r="E190" s="6">
        <v>46140</v>
      </c>
      <c r="F190" s="12"/>
    </row>
    <row r="191" spans="1:6" x14ac:dyDescent="0.3">
      <c r="A191" s="92">
        <v>16587</v>
      </c>
      <c r="B191" s="92" t="s">
        <v>779</v>
      </c>
      <c r="C191" s="94">
        <v>137</v>
      </c>
      <c r="D191" s="9" t="s">
        <v>16</v>
      </c>
      <c r="E191" s="6">
        <v>46140</v>
      </c>
      <c r="F191" s="12"/>
    </row>
    <row r="192" spans="1:6" x14ac:dyDescent="0.3">
      <c r="A192" s="92">
        <v>16593</v>
      </c>
      <c r="B192" s="92" t="s">
        <v>780</v>
      </c>
      <c r="C192" s="94">
        <v>4720</v>
      </c>
      <c r="D192" s="9" t="s">
        <v>16</v>
      </c>
      <c r="E192" s="6">
        <v>46140</v>
      </c>
      <c r="F192" s="12" t="s">
        <v>762</v>
      </c>
    </row>
    <row r="193" spans="1:6" x14ac:dyDescent="0.3">
      <c r="A193" s="92">
        <v>16594</v>
      </c>
      <c r="B193" s="92" t="s">
        <v>782</v>
      </c>
      <c r="C193" s="94">
        <v>10.18</v>
      </c>
      <c r="D193" s="9" t="s">
        <v>25</v>
      </c>
      <c r="E193" s="11">
        <v>46141</v>
      </c>
      <c r="F193" s="12"/>
    </row>
    <row r="194" spans="1:6" x14ac:dyDescent="0.3">
      <c r="A194" s="92">
        <v>16595</v>
      </c>
      <c r="B194" s="92" t="s">
        <v>783</v>
      </c>
      <c r="C194" s="94">
        <v>127.16</v>
      </c>
      <c r="D194" s="9" t="s">
        <v>25</v>
      </c>
      <c r="E194" s="11">
        <v>46141</v>
      </c>
      <c r="F194" s="12"/>
    </row>
    <row r="195" spans="1:6" x14ac:dyDescent="0.3">
      <c r="A195" s="92">
        <v>16596</v>
      </c>
      <c r="B195" s="92" t="s">
        <v>784</v>
      </c>
      <c r="C195" s="94">
        <v>11.29</v>
      </c>
      <c r="D195" s="9" t="s">
        <v>25</v>
      </c>
      <c r="E195" s="11">
        <v>46141</v>
      </c>
      <c r="F195" s="12"/>
    </row>
    <row r="196" spans="1:6" x14ac:dyDescent="0.3">
      <c r="A196" s="92">
        <v>16597</v>
      </c>
      <c r="B196" s="92" t="s">
        <v>720</v>
      </c>
      <c r="C196" s="94">
        <v>182.46</v>
      </c>
      <c r="D196" s="9" t="s">
        <v>25</v>
      </c>
      <c r="E196" s="11">
        <v>46141</v>
      </c>
      <c r="F196" s="12"/>
    </row>
    <row r="197" spans="1:6" x14ac:dyDescent="0.3">
      <c r="A197" s="92">
        <v>16598</v>
      </c>
      <c r="B197" s="92" t="s">
        <v>646</v>
      </c>
      <c r="C197" s="94">
        <v>254.32</v>
      </c>
      <c r="D197" s="9" t="s">
        <v>25</v>
      </c>
      <c r="E197" s="11">
        <v>46141</v>
      </c>
      <c r="F197" s="12"/>
    </row>
    <row r="198" spans="1:6" x14ac:dyDescent="0.3">
      <c r="A198" s="92">
        <v>16599</v>
      </c>
      <c r="B198" s="92" t="s">
        <v>781</v>
      </c>
      <c r="C198" s="94">
        <v>50000</v>
      </c>
      <c r="D198" s="9" t="s">
        <v>10</v>
      </c>
      <c r="E198" s="11">
        <v>46141</v>
      </c>
      <c r="F198" s="12"/>
    </row>
    <row r="199" spans="1:6" x14ac:dyDescent="0.3">
      <c r="A199" s="92">
        <v>16601</v>
      </c>
      <c r="B199" s="92" t="s">
        <v>785</v>
      </c>
      <c r="C199" s="94">
        <v>91.23</v>
      </c>
      <c r="D199" s="9" t="s">
        <v>25</v>
      </c>
      <c r="E199" s="11">
        <v>46141</v>
      </c>
      <c r="F199" s="12"/>
    </row>
    <row r="200" spans="1:6" x14ac:dyDescent="0.3">
      <c r="A200" s="92">
        <v>16602</v>
      </c>
      <c r="B200" s="92" t="s">
        <v>785</v>
      </c>
      <c r="C200" s="94">
        <v>952.82</v>
      </c>
      <c r="D200" s="9" t="s">
        <v>25</v>
      </c>
      <c r="E200" s="11">
        <v>46141</v>
      </c>
      <c r="F200" s="12"/>
    </row>
    <row r="201" spans="1:6" x14ac:dyDescent="0.3">
      <c r="A201" s="92">
        <v>16611</v>
      </c>
      <c r="B201" s="92" t="s">
        <v>406</v>
      </c>
      <c r="C201" s="94">
        <v>8750</v>
      </c>
      <c r="D201" s="9" t="s">
        <v>10</v>
      </c>
      <c r="E201" s="11">
        <v>46141</v>
      </c>
      <c r="F201" s="92"/>
    </row>
    <row r="202" spans="1:6" x14ac:dyDescent="0.3">
      <c r="A202" s="92">
        <v>16615</v>
      </c>
      <c r="B202" s="92" t="s">
        <v>786</v>
      </c>
      <c r="C202" s="94">
        <v>503.17</v>
      </c>
      <c r="D202" s="9" t="s">
        <v>25</v>
      </c>
      <c r="E202" s="11">
        <v>46141</v>
      </c>
      <c r="F202" s="114"/>
    </row>
    <row r="203" spans="1:6" x14ac:dyDescent="0.3">
      <c r="A203" s="92">
        <v>16617</v>
      </c>
      <c r="B203" s="92" t="s">
        <v>776</v>
      </c>
      <c r="C203" s="94">
        <v>4842</v>
      </c>
      <c r="D203" s="9" t="s">
        <v>10</v>
      </c>
      <c r="E203" s="11">
        <v>46141</v>
      </c>
      <c r="F203" s="92" t="s">
        <v>777</v>
      </c>
    </row>
    <row r="204" spans="1:6" x14ac:dyDescent="0.3">
      <c r="A204" s="92">
        <v>16614</v>
      </c>
      <c r="B204" s="92" t="s">
        <v>788</v>
      </c>
      <c r="C204" s="94">
        <v>15684</v>
      </c>
      <c r="D204" s="15" t="s">
        <v>13</v>
      </c>
      <c r="E204" s="11">
        <v>46141</v>
      </c>
      <c r="F204" s="110" t="s">
        <v>787</v>
      </c>
    </row>
    <row r="205" spans="1:6" x14ac:dyDescent="0.3">
      <c r="A205" s="92">
        <v>16623</v>
      </c>
      <c r="B205" s="92" t="s">
        <v>789</v>
      </c>
      <c r="C205" s="94">
        <v>1032</v>
      </c>
      <c r="D205" s="9" t="s">
        <v>50</v>
      </c>
      <c r="E205" s="11">
        <v>46141</v>
      </c>
      <c r="F205" s="92"/>
    </row>
    <row r="206" spans="1:6" x14ac:dyDescent="0.3">
      <c r="A206" s="92">
        <v>16625</v>
      </c>
      <c r="B206" s="92" t="s">
        <v>790</v>
      </c>
      <c r="C206" s="94">
        <v>5310</v>
      </c>
      <c r="D206" s="9" t="s">
        <v>16</v>
      </c>
      <c r="E206" s="11">
        <v>46141</v>
      </c>
      <c r="F206" s="92"/>
    </row>
    <row r="207" spans="1:6" x14ac:dyDescent="0.3">
      <c r="A207" s="92">
        <v>16630</v>
      </c>
      <c r="B207" s="92" t="s">
        <v>791</v>
      </c>
      <c r="C207" s="94">
        <v>8519.2000000000007</v>
      </c>
      <c r="D207" s="9" t="s">
        <v>16</v>
      </c>
      <c r="E207" s="11">
        <v>46141</v>
      </c>
      <c r="F207" s="12" t="s">
        <v>739</v>
      </c>
    </row>
    <row r="208" spans="1:6" x14ac:dyDescent="0.3">
      <c r="A208" s="92">
        <v>16631</v>
      </c>
      <c r="B208" s="92" t="s">
        <v>792</v>
      </c>
      <c r="C208" s="94">
        <v>17910</v>
      </c>
      <c r="D208" s="9" t="s">
        <v>16</v>
      </c>
      <c r="E208" s="11">
        <v>46141</v>
      </c>
      <c r="F208" s="12" t="s">
        <v>793</v>
      </c>
    </row>
    <row r="209" spans="1:6" x14ac:dyDescent="0.3">
      <c r="A209" s="92">
        <v>16635</v>
      </c>
      <c r="B209" s="92" t="s">
        <v>794</v>
      </c>
      <c r="C209" s="94">
        <v>13520</v>
      </c>
      <c r="D209" s="9" t="s">
        <v>16</v>
      </c>
      <c r="E209" s="11">
        <v>46141</v>
      </c>
      <c r="F209" s="12"/>
    </row>
    <row r="210" spans="1:6" x14ac:dyDescent="0.3">
      <c r="A210" s="92">
        <v>16637</v>
      </c>
      <c r="B210" s="92" t="s">
        <v>796</v>
      </c>
      <c r="C210" s="94">
        <v>1111</v>
      </c>
      <c r="D210" s="9" t="s">
        <v>10</v>
      </c>
      <c r="E210" s="11">
        <v>46141</v>
      </c>
      <c r="F210" s="12"/>
    </row>
    <row r="211" spans="1:6" x14ac:dyDescent="0.3">
      <c r="A211" s="92">
        <v>16640</v>
      </c>
      <c r="B211" s="92" t="s">
        <v>797</v>
      </c>
      <c r="C211" s="94">
        <v>190.74</v>
      </c>
      <c r="D211" s="9" t="s">
        <v>25</v>
      </c>
      <c r="E211" s="11">
        <v>46142</v>
      </c>
      <c r="F211" s="12"/>
    </row>
    <row r="212" spans="1:6" x14ac:dyDescent="0.3">
      <c r="A212" s="92">
        <v>16641</v>
      </c>
      <c r="B212" s="92" t="s">
        <v>695</v>
      </c>
      <c r="C212" s="94">
        <v>49</v>
      </c>
      <c r="D212" s="9" t="s">
        <v>25</v>
      </c>
      <c r="E212" s="11">
        <v>46142</v>
      </c>
      <c r="F212" s="12"/>
    </row>
    <row r="213" spans="1:6" x14ac:dyDescent="0.3">
      <c r="A213" s="92">
        <v>16642</v>
      </c>
      <c r="B213" s="98" t="s">
        <v>798</v>
      </c>
      <c r="C213" s="100">
        <v>145</v>
      </c>
      <c r="D213" s="9" t="s">
        <v>25</v>
      </c>
      <c r="E213" s="11">
        <v>46142</v>
      </c>
      <c r="F213" s="12"/>
    </row>
    <row r="214" spans="1:6" x14ac:dyDescent="0.3">
      <c r="A214" s="92">
        <v>16643</v>
      </c>
      <c r="B214" s="98" t="s">
        <v>799</v>
      </c>
      <c r="C214" s="100">
        <v>1090</v>
      </c>
      <c r="D214" s="9" t="s">
        <v>25</v>
      </c>
      <c r="E214" s="11">
        <v>46142</v>
      </c>
      <c r="F214" s="12"/>
    </row>
    <row r="215" spans="1:6" x14ac:dyDescent="0.3">
      <c r="A215" s="92">
        <v>16645</v>
      </c>
      <c r="B215" s="98" t="s">
        <v>800</v>
      </c>
      <c r="C215" s="100">
        <v>6358.35</v>
      </c>
      <c r="D215" s="9" t="s">
        <v>25</v>
      </c>
      <c r="E215" s="11">
        <v>46142</v>
      </c>
      <c r="F215" s="12"/>
    </row>
    <row r="216" spans="1:6" x14ac:dyDescent="0.3">
      <c r="A216" s="92">
        <v>16649</v>
      </c>
      <c r="B216" s="98" t="s">
        <v>588</v>
      </c>
      <c r="C216" s="100">
        <v>11.29</v>
      </c>
      <c r="D216" s="9" t="s">
        <v>25</v>
      </c>
      <c r="E216" s="11">
        <v>46142</v>
      </c>
      <c r="F216" s="12"/>
    </row>
    <row r="217" spans="1:6" x14ac:dyDescent="0.3">
      <c r="A217" s="92">
        <v>16663</v>
      </c>
      <c r="B217" s="92" t="s">
        <v>801</v>
      </c>
      <c r="C217" s="94">
        <v>4784</v>
      </c>
      <c r="D217" s="9" t="s">
        <v>10</v>
      </c>
      <c r="E217" s="11">
        <v>46142</v>
      </c>
      <c r="F217" s="12"/>
    </row>
    <row r="218" spans="1:6" x14ac:dyDescent="0.3">
      <c r="A218" s="92">
        <v>16664</v>
      </c>
      <c r="B218" s="92" t="s">
        <v>802</v>
      </c>
      <c r="C218" s="94">
        <v>12565</v>
      </c>
      <c r="D218" s="9" t="s">
        <v>10</v>
      </c>
      <c r="E218" s="11">
        <v>46142</v>
      </c>
      <c r="F218" s="12" t="s">
        <v>803</v>
      </c>
    </row>
    <row r="219" spans="1:6" x14ac:dyDescent="0.3">
      <c r="A219" s="103">
        <v>16665</v>
      </c>
      <c r="B219" s="98" t="s">
        <v>804</v>
      </c>
      <c r="C219" s="100">
        <v>44820</v>
      </c>
      <c r="D219" s="15" t="s">
        <v>16</v>
      </c>
      <c r="E219" s="11">
        <v>46142</v>
      </c>
      <c r="F219" s="12"/>
    </row>
    <row r="220" spans="1:6" x14ac:dyDescent="0.3">
      <c r="A220" s="103">
        <v>16668</v>
      </c>
      <c r="B220" s="98" t="s">
        <v>805</v>
      </c>
      <c r="C220" s="100">
        <v>11000</v>
      </c>
      <c r="D220" s="9" t="s">
        <v>10</v>
      </c>
      <c r="E220" s="11">
        <v>46142</v>
      </c>
      <c r="F220" s="12"/>
    </row>
    <row r="221" spans="1:6" x14ac:dyDescent="0.3">
      <c r="A221" s="103">
        <v>16670</v>
      </c>
      <c r="B221" s="98" t="s">
        <v>806</v>
      </c>
      <c r="C221" s="100">
        <v>11565</v>
      </c>
      <c r="D221" s="9" t="s">
        <v>16</v>
      </c>
      <c r="E221" s="17">
        <v>46142</v>
      </c>
      <c r="F221" s="12" t="s">
        <v>762</v>
      </c>
    </row>
    <row r="222" spans="1:6" x14ac:dyDescent="0.3">
      <c r="A222" s="103">
        <v>16671</v>
      </c>
      <c r="B222" s="98" t="s">
        <v>592</v>
      </c>
      <c r="C222" s="100">
        <v>11610</v>
      </c>
      <c r="D222" s="9" t="s">
        <v>10</v>
      </c>
      <c r="E222" s="11">
        <v>46142</v>
      </c>
      <c r="F222" s="12"/>
    </row>
    <row r="223" spans="1:6" x14ac:dyDescent="0.3">
      <c r="A223" s="103">
        <v>16674</v>
      </c>
      <c r="B223" s="98" t="s">
        <v>807</v>
      </c>
      <c r="C223" s="100">
        <v>7110</v>
      </c>
      <c r="D223" s="15" t="s">
        <v>13</v>
      </c>
      <c r="E223" s="11">
        <v>46142</v>
      </c>
      <c r="F223" s="12"/>
    </row>
    <row r="224" spans="1:6" x14ac:dyDescent="0.3">
      <c r="A224" s="103">
        <v>16675</v>
      </c>
      <c r="B224" s="98" t="s">
        <v>808</v>
      </c>
      <c r="C224" s="100">
        <v>112.63</v>
      </c>
      <c r="D224" s="9" t="s">
        <v>25</v>
      </c>
      <c r="E224" s="11">
        <v>46142</v>
      </c>
      <c r="F224" s="12"/>
    </row>
    <row r="225" spans="1:6" x14ac:dyDescent="0.3">
      <c r="A225" s="103">
        <v>16678</v>
      </c>
      <c r="B225" s="98" t="s">
        <v>809</v>
      </c>
      <c r="C225" s="100">
        <v>8519.2000000000007</v>
      </c>
      <c r="D225" s="15" t="s">
        <v>16</v>
      </c>
      <c r="E225" s="11">
        <v>46142</v>
      </c>
      <c r="F225" s="12" t="s">
        <v>762</v>
      </c>
    </row>
    <row r="226" spans="1:6" x14ac:dyDescent="0.3">
      <c r="A226" s="103">
        <v>16683</v>
      </c>
      <c r="B226" s="98" t="s">
        <v>810</v>
      </c>
      <c r="C226" s="100">
        <v>7110</v>
      </c>
      <c r="D226" s="15" t="s">
        <v>16</v>
      </c>
      <c r="E226" s="11">
        <v>46142</v>
      </c>
      <c r="F226" s="12"/>
    </row>
    <row r="227" spans="1:6" x14ac:dyDescent="0.3">
      <c r="A227" s="103">
        <v>16687</v>
      </c>
      <c r="B227" s="98" t="s">
        <v>812</v>
      </c>
      <c r="C227" s="100">
        <v>9584.1</v>
      </c>
      <c r="D227" s="9" t="s">
        <v>16</v>
      </c>
      <c r="E227" s="11">
        <v>46142</v>
      </c>
      <c r="F227" s="12" t="s">
        <v>762</v>
      </c>
    </row>
    <row r="228" spans="1:6" x14ac:dyDescent="0.3">
      <c r="A228" s="103">
        <v>16689</v>
      </c>
      <c r="B228" s="98" t="s">
        <v>813</v>
      </c>
      <c r="C228" s="100">
        <v>5520</v>
      </c>
      <c r="D228" s="9" t="s">
        <v>10</v>
      </c>
      <c r="E228" s="11">
        <v>46142</v>
      </c>
      <c r="F228" s="12"/>
    </row>
    <row r="229" spans="1:6" x14ac:dyDescent="0.3">
      <c r="A229" s="103">
        <v>16690</v>
      </c>
      <c r="B229" s="98" t="s">
        <v>814</v>
      </c>
      <c r="C229" s="100">
        <v>15920</v>
      </c>
      <c r="D229" s="9" t="s">
        <v>16</v>
      </c>
      <c r="E229" s="11">
        <v>46142</v>
      </c>
      <c r="F229" s="12"/>
    </row>
    <row r="230" spans="1:6" x14ac:dyDescent="0.3">
      <c r="A230" s="103"/>
      <c r="B230" s="98"/>
      <c r="C230" s="100"/>
      <c r="D230" s="15"/>
      <c r="E230" s="17"/>
      <c r="F230" s="12"/>
    </row>
    <row r="231" spans="1:6" x14ac:dyDescent="0.3">
      <c r="A231" s="103"/>
      <c r="B231" s="98"/>
      <c r="C231" s="100"/>
      <c r="D231" s="15"/>
      <c r="E231" s="17"/>
      <c r="F231" s="12"/>
    </row>
    <row r="232" spans="1:6" x14ac:dyDescent="0.3">
      <c r="A232" s="103"/>
      <c r="B232" s="98"/>
      <c r="C232" s="100"/>
      <c r="D232" s="9"/>
      <c r="E232" s="17"/>
      <c r="F232" s="12"/>
    </row>
    <row r="233" spans="1:6" x14ac:dyDescent="0.3">
      <c r="A233" s="103"/>
      <c r="B233" s="98"/>
      <c r="C233" s="100"/>
      <c r="D233" s="9"/>
      <c r="E233" s="17"/>
      <c r="F233" s="12"/>
    </row>
    <row r="234" spans="1:6" x14ac:dyDescent="0.3">
      <c r="A234" s="103"/>
      <c r="B234" s="98"/>
      <c r="C234" s="100"/>
      <c r="D234" s="9"/>
      <c r="E234" s="17"/>
      <c r="F234" s="12"/>
    </row>
    <row r="235" spans="1:6" x14ac:dyDescent="0.3">
      <c r="A235" s="103"/>
      <c r="B235" s="98"/>
      <c r="C235" s="100"/>
      <c r="D235" s="100"/>
      <c r="E235" s="17"/>
      <c r="F235" s="12"/>
    </row>
    <row r="236" spans="1:6" x14ac:dyDescent="0.3">
      <c r="A236" s="103"/>
      <c r="B236" s="98"/>
      <c r="C236" s="100"/>
      <c r="D236" s="9"/>
      <c r="E236" s="17"/>
      <c r="F236" s="12"/>
    </row>
    <row r="237" spans="1:6" x14ac:dyDescent="0.3">
      <c r="A237" s="103"/>
      <c r="B237" s="98"/>
      <c r="C237" s="100"/>
      <c r="D237" s="9"/>
      <c r="E237" s="17"/>
      <c r="F237" s="12"/>
    </row>
    <row r="238" spans="1:6" x14ac:dyDescent="0.3">
      <c r="A238" s="103"/>
      <c r="B238" s="98"/>
      <c r="C238" s="100"/>
      <c r="D238" s="9"/>
      <c r="E238" s="17"/>
      <c r="F238" s="12"/>
    </row>
    <row r="239" spans="1:6" x14ac:dyDescent="0.3">
      <c r="A239" s="103"/>
      <c r="B239" s="98"/>
      <c r="C239" s="100"/>
      <c r="D239" s="9"/>
      <c r="E239" s="17"/>
      <c r="F239" s="12"/>
    </row>
    <row r="240" spans="1:6" x14ac:dyDescent="0.3">
      <c r="A240" s="103"/>
      <c r="B240" s="98"/>
      <c r="C240" s="100"/>
      <c r="D240" s="9"/>
      <c r="E240" s="17"/>
      <c r="F240" s="12"/>
    </row>
    <row r="241" spans="1:6" x14ac:dyDescent="0.3">
      <c r="A241" s="103"/>
      <c r="B241" s="98"/>
      <c r="C241" s="100"/>
      <c r="D241" s="9"/>
      <c r="E241" s="17"/>
      <c r="F241" s="12"/>
    </row>
    <row r="242" spans="1:6" x14ac:dyDescent="0.3">
      <c r="A242" s="103"/>
      <c r="B242" s="98"/>
      <c r="C242" s="100"/>
      <c r="D242" s="9"/>
      <c r="E242" s="17"/>
      <c r="F242" s="12"/>
    </row>
    <row r="243" spans="1:6" x14ac:dyDescent="0.3">
      <c r="A243" s="103"/>
      <c r="B243" s="98"/>
      <c r="C243" s="100"/>
      <c r="D243" s="15"/>
      <c r="E243" s="17"/>
      <c r="F243" s="12"/>
    </row>
    <row r="244" spans="1:6" x14ac:dyDescent="0.3">
      <c r="A244" s="103"/>
      <c r="B244" s="98"/>
      <c r="C244" s="100"/>
      <c r="D244" s="9"/>
      <c r="E244" s="17"/>
      <c r="F244" s="12"/>
    </row>
    <row r="245" spans="1:6" x14ac:dyDescent="0.3">
      <c r="A245" s="103"/>
      <c r="B245" s="98"/>
      <c r="C245" s="100"/>
      <c r="D245" s="15"/>
      <c r="E245" s="17"/>
      <c r="F245" s="109"/>
    </row>
    <row r="246" spans="1:6" x14ac:dyDescent="0.3">
      <c r="A246" s="103"/>
      <c r="B246" s="98"/>
      <c r="C246" s="100"/>
      <c r="D246" s="9"/>
      <c r="E246" s="17"/>
      <c r="F246" s="12"/>
    </row>
    <row r="247" spans="1:6" x14ac:dyDescent="0.3">
      <c r="A247" s="103"/>
      <c r="B247" s="98"/>
      <c r="C247" s="100"/>
      <c r="D247" s="15"/>
      <c r="E247" s="17"/>
      <c r="F247" s="12"/>
    </row>
    <row r="248" spans="1:6" x14ac:dyDescent="0.3">
      <c r="A248" s="103"/>
      <c r="B248" s="98"/>
      <c r="C248" s="100"/>
      <c r="D248" s="15"/>
      <c r="E248" s="17"/>
      <c r="F248" s="12"/>
    </row>
    <row r="249" spans="1:6" x14ac:dyDescent="0.3">
      <c r="A249" s="103"/>
      <c r="B249" s="98"/>
      <c r="C249" s="100"/>
      <c r="D249" s="15"/>
      <c r="E249" s="17"/>
      <c r="F249" s="12"/>
    </row>
    <row r="250" spans="1:6" x14ac:dyDescent="0.3">
      <c r="A250" s="103"/>
      <c r="B250" s="98"/>
      <c r="C250" s="100"/>
      <c r="D250" s="15"/>
      <c r="E250" s="17"/>
      <c r="F250" s="12"/>
    </row>
    <row r="251" spans="1:6" x14ac:dyDescent="0.3">
      <c r="A251" s="103"/>
      <c r="B251" s="98"/>
      <c r="C251" s="100"/>
      <c r="D251" s="15"/>
      <c r="E251" s="17"/>
      <c r="F251" s="12"/>
    </row>
    <row r="252" spans="1:6" x14ac:dyDescent="0.3">
      <c r="A252" s="103"/>
      <c r="B252" s="98"/>
      <c r="C252" s="100"/>
      <c r="D252" s="9"/>
      <c r="E252" s="17"/>
      <c r="F252" s="12"/>
    </row>
    <row r="253" spans="1:6" x14ac:dyDescent="0.3">
      <c r="A253" s="103"/>
      <c r="B253" s="98"/>
      <c r="C253" s="100"/>
      <c r="D253" s="9"/>
      <c r="E253" s="17"/>
      <c r="F253" s="12"/>
    </row>
    <row r="254" spans="1:6" x14ac:dyDescent="0.3">
      <c r="A254" s="103"/>
      <c r="B254" s="98"/>
      <c r="C254" s="100"/>
      <c r="D254" s="9"/>
      <c r="E254" s="17"/>
      <c r="F254" s="12"/>
    </row>
    <row r="255" spans="1:6" x14ac:dyDescent="0.3">
      <c r="A255" s="103"/>
      <c r="B255" s="98"/>
      <c r="C255" s="100"/>
      <c r="D255" s="9"/>
      <c r="E255" s="17"/>
      <c r="F255" s="12"/>
    </row>
    <row r="256" spans="1:6" x14ac:dyDescent="0.3">
      <c r="A256" s="103"/>
      <c r="B256" s="98"/>
      <c r="C256" s="100"/>
      <c r="D256" s="9"/>
      <c r="E256" s="17"/>
      <c r="F256" s="12"/>
    </row>
    <row r="257" spans="1:6" x14ac:dyDescent="0.3">
      <c r="A257" s="103"/>
      <c r="B257" s="98"/>
      <c r="C257" s="100"/>
      <c r="D257" s="9"/>
      <c r="E257" s="17"/>
      <c r="F257" s="12"/>
    </row>
    <row r="258" spans="1:6" x14ac:dyDescent="0.3">
      <c r="A258" s="103"/>
      <c r="B258" s="98"/>
      <c r="C258" s="100"/>
      <c r="D258" s="9"/>
      <c r="E258" s="17"/>
      <c r="F258" s="12"/>
    </row>
    <row r="259" spans="1:6" x14ac:dyDescent="0.3">
      <c r="A259" s="103"/>
      <c r="B259" s="98"/>
      <c r="C259" s="100"/>
      <c r="D259" s="15"/>
      <c r="E259" s="17"/>
      <c r="F259" s="12"/>
    </row>
    <row r="260" spans="1:6" x14ac:dyDescent="0.3">
      <c r="A260" s="103"/>
      <c r="B260" s="98"/>
      <c r="C260" s="100"/>
      <c r="D260" s="15"/>
      <c r="E260" s="17"/>
      <c r="F260" s="12"/>
    </row>
    <row r="261" spans="1:6" x14ac:dyDescent="0.3">
      <c r="A261" s="103"/>
      <c r="B261" s="98"/>
      <c r="C261" s="100"/>
      <c r="D261" s="15"/>
      <c r="E261" s="17"/>
      <c r="F261" s="12"/>
    </row>
    <row r="262" spans="1:6" x14ac:dyDescent="0.3">
      <c r="A262" s="103"/>
      <c r="B262" s="98"/>
      <c r="C262" s="100"/>
      <c r="D262" s="15"/>
      <c r="E262" s="17"/>
      <c r="F262" s="12"/>
    </row>
    <row r="263" spans="1:6" x14ac:dyDescent="0.3">
      <c r="A263" s="103"/>
      <c r="B263" s="98"/>
      <c r="C263" s="100"/>
      <c r="D263" s="15"/>
      <c r="E263" s="17"/>
      <c r="F263" s="12"/>
    </row>
    <row r="264" spans="1:6" x14ac:dyDescent="0.3">
      <c r="A264" s="103"/>
      <c r="B264" s="98"/>
      <c r="C264" s="100"/>
      <c r="D264" s="15"/>
      <c r="E264" s="17"/>
      <c r="F264" s="12"/>
    </row>
    <row r="265" spans="1:6" x14ac:dyDescent="0.3">
      <c r="A265" s="92"/>
      <c r="B265" s="92"/>
      <c r="C265" s="94"/>
      <c r="D265" s="9"/>
      <c r="E265" s="11"/>
      <c r="F265" s="12"/>
    </row>
    <row r="266" spans="1:6" x14ac:dyDescent="0.3">
      <c r="A266" s="92"/>
      <c r="B266" s="92"/>
      <c r="C266" s="94"/>
      <c r="D266" s="15"/>
      <c r="E266" s="11"/>
      <c r="F266" s="109"/>
    </row>
    <row r="267" spans="1:6" x14ac:dyDescent="0.3">
      <c r="A267" s="103"/>
      <c r="B267" s="98"/>
      <c r="C267" s="100"/>
      <c r="D267" s="15"/>
      <c r="E267" s="11"/>
      <c r="F267" s="12"/>
    </row>
    <row r="268" spans="1:6" x14ac:dyDescent="0.3">
      <c r="A268" s="103"/>
      <c r="B268" s="98"/>
      <c r="C268" s="100"/>
      <c r="D268" s="15"/>
      <c r="E268" s="11"/>
      <c r="F268" s="12"/>
    </row>
    <row r="269" spans="1:6" x14ac:dyDescent="0.3">
      <c r="A269" s="103"/>
      <c r="B269" s="98"/>
      <c r="C269" s="100"/>
      <c r="D269" s="15"/>
      <c r="E269" s="17"/>
      <c r="F269" s="12"/>
    </row>
    <row r="270" spans="1:6" x14ac:dyDescent="0.3">
      <c r="A270" s="103"/>
      <c r="B270" s="98"/>
      <c r="C270" s="100"/>
      <c r="D270" s="15"/>
      <c r="E270" s="17"/>
      <c r="F270" s="12"/>
    </row>
    <row r="271" spans="1:6" x14ac:dyDescent="0.3">
      <c r="A271" s="103"/>
      <c r="B271" s="98"/>
      <c r="C271" s="100"/>
      <c r="D271" s="15"/>
      <c r="E271" s="17"/>
      <c r="F271" s="12"/>
    </row>
    <row r="272" spans="1:6" ht="15" thickBot="1" x14ac:dyDescent="0.35">
      <c r="A272" s="103"/>
      <c r="B272" s="98"/>
      <c r="C272" s="100"/>
      <c r="D272" s="15"/>
      <c r="E272" s="17"/>
      <c r="F272" s="12"/>
    </row>
    <row r="273" spans="1:6" ht="15" thickBot="1" x14ac:dyDescent="0.35">
      <c r="A273" s="138" t="s">
        <v>6</v>
      </c>
      <c r="B273" s="139"/>
      <c r="C273" s="93">
        <f>SUM(C2:C272)</f>
        <v>1446739.8299999998</v>
      </c>
      <c r="D273" s="19"/>
      <c r="E273" s="20"/>
      <c r="F273" s="3"/>
    </row>
    <row r="274" spans="1:6" ht="15" thickBot="1" x14ac:dyDescent="0.35">
      <c r="A274" s="138" t="s">
        <v>8</v>
      </c>
      <c r="B274" s="139"/>
      <c r="C274" s="93">
        <v>1758000</v>
      </c>
      <c r="D274" s="38">
        <v>1760000</v>
      </c>
      <c r="E274" s="18"/>
      <c r="F274" s="3"/>
    </row>
    <row r="275" spans="1:6" ht="15" thickBot="1" x14ac:dyDescent="0.35">
      <c r="A275" s="138" t="s">
        <v>7</v>
      </c>
      <c r="B275" s="139"/>
      <c r="C275" s="93">
        <f>C274-C273</f>
        <v>311260.17000000016</v>
      </c>
      <c r="D275" s="38">
        <f>D274-C273</f>
        <v>313260.17000000016</v>
      </c>
      <c r="E275" s="18"/>
      <c r="F275" s="3"/>
    </row>
  </sheetData>
  <autoFilter ref="A1:F242" xr:uid="{AFF50047-F45E-4826-B627-9667DEC3EC94}">
    <sortState xmlns:xlrd2="http://schemas.microsoft.com/office/spreadsheetml/2017/richdata2" ref="A2:F262">
      <sortCondition ref="E1:E242"/>
    </sortState>
  </autoFilter>
  <mergeCells count="3">
    <mergeCell ref="A273:B273"/>
    <mergeCell ref="A274:B274"/>
    <mergeCell ref="A275:B275"/>
  </mergeCells>
  <conditionalFormatting sqref="I9:I28">
    <cfRule type="cellIs" dxfId="9" priority="1" operator="equal">
      <formula>0</formula>
    </cfRule>
    <cfRule type="cellIs" dxfId="8" priority="2" operator="lessThan">
      <formula>91095.25</formula>
    </cfRule>
    <cfRule type="cellIs" dxfId="7" priority="3" operator="greaterThan">
      <formula>91095.25</formula>
    </cfRule>
  </conditionalFormatting>
  <conditionalFormatting sqref="L9">
    <cfRule type="cellIs" dxfId="6" priority="4" operator="lessThan">
      <formula>0</formula>
    </cfRule>
    <cfRule type="cellIs" dxfId="5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12:I26 I9:I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5C74-3071-4FD9-8BBC-91AC5EB0617C}">
  <dimension ref="A1:L276"/>
  <sheetViews>
    <sheetView zoomScaleNormal="100" workbookViewId="0">
      <pane ySplit="1" topLeftCell="A255" activePane="bottomLeft" state="frozen"/>
      <selection activeCell="B1" sqref="B1"/>
      <selection pane="bottomLeft" activeCell="B271" sqref="B271"/>
    </sheetView>
  </sheetViews>
  <sheetFormatPr defaultColWidth="9" defaultRowHeight="14.4" x14ac:dyDescent="0.3"/>
  <cols>
    <col min="1" max="1" width="18" style="21" bestFit="1" customWidth="1"/>
    <col min="2" max="2" width="31.44140625" style="21" customWidth="1"/>
    <col min="3" max="3" width="15.6640625" style="95" customWidth="1"/>
    <col min="4" max="4" width="19.33203125" customWidth="1"/>
    <col min="5" max="5" width="16.109375" style="22" customWidth="1"/>
    <col min="6" max="6" width="53.6640625" customWidth="1"/>
    <col min="7" max="7" width="18" customWidth="1"/>
    <col min="8" max="8" width="14.33203125" bestFit="1" customWidth="1"/>
    <col min="9" max="9" width="16.5546875" customWidth="1"/>
    <col min="10" max="10" width="15.88671875" bestFit="1" customWidth="1"/>
    <col min="11" max="11" width="17.88671875" customWidth="1"/>
    <col min="12" max="12" width="13.33203125" bestFit="1" customWidth="1"/>
  </cols>
  <sheetData>
    <row r="1" spans="1:12" ht="15" thickBot="1" x14ac:dyDescent="0.35">
      <c r="A1" s="1" t="s">
        <v>0</v>
      </c>
      <c r="B1" s="2" t="s">
        <v>1</v>
      </c>
      <c r="C1" s="93" t="s">
        <v>2</v>
      </c>
      <c r="D1" s="2" t="s">
        <v>3</v>
      </c>
      <c r="E1" s="2" t="s">
        <v>4</v>
      </c>
      <c r="F1" s="42" t="s">
        <v>5</v>
      </c>
      <c r="G1" s="79" t="s">
        <v>6</v>
      </c>
      <c r="H1" s="82"/>
      <c r="I1" s="85">
        <f>SUM(C2:C273)</f>
        <v>2046383.6100000008</v>
      </c>
      <c r="J1" s="41"/>
    </row>
    <row r="2" spans="1:12" ht="15" thickBot="1" x14ac:dyDescent="0.35">
      <c r="A2" s="104">
        <v>15312</v>
      </c>
      <c r="B2" s="96" t="s">
        <v>336</v>
      </c>
      <c r="C2" s="99">
        <v>10760</v>
      </c>
      <c r="D2" s="4" t="s">
        <v>10</v>
      </c>
      <c r="E2" s="6">
        <v>46083</v>
      </c>
      <c r="F2" s="7"/>
      <c r="G2" s="80" t="s">
        <v>8</v>
      </c>
      <c r="H2" s="83"/>
      <c r="I2" s="85">
        <v>1758000</v>
      </c>
      <c r="J2" s="84">
        <v>1760000</v>
      </c>
    </row>
    <row r="3" spans="1:12" ht="15" thickBot="1" x14ac:dyDescent="0.35">
      <c r="A3" s="104">
        <v>15314</v>
      </c>
      <c r="B3" s="96" t="s">
        <v>337</v>
      </c>
      <c r="C3" s="99">
        <v>14207.98</v>
      </c>
      <c r="D3" s="4" t="s">
        <v>25</v>
      </c>
      <c r="E3" s="6">
        <v>46083</v>
      </c>
      <c r="F3" s="7"/>
      <c r="G3" s="79" t="s">
        <v>7</v>
      </c>
      <c r="H3" s="82"/>
      <c r="I3" s="85">
        <f>I2-I1</f>
        <v>-288383.6100000008</v>
      </c>
      <c r="J3" s="84">
        <f>J2-I1</f>
        <v>-286383.6100000008</v>
      </c>
    </row>
    <row r="4" spans="1:12" ht="15" thickBot="1" x14ac:dyDescent="0.35">
      <c r="A4" s="101">
        <v>15324</v>
      </c>
      <c r="B4" s="92" t="s">
        <v>341</v>
      </c>
      <c r="C4" s="94">
        <v>17900</v>
      </c>
      <c r="D4" s="4" t="s">
        <v>16</v>
      </c>
      <c r="E4" s="6">
        <v>46083</v>
      </c>
      <c r="F4" s="12"/>
      <c r="G4" s="81" t="s">
        <v>14</v>
      </c>
      <c r="H4" s="37">
        <v>79909.09</v>
      </c>
      <c r="I4" s="81" t="s">
        <v>335</v>
      </c>
    </row>
    <row r="5" spans="1:12" ht="15" thickBot="1" x14ac:dyDescent="0.35">
      <c r="A5" s="101">
        <v>15325</v>
      </c>
      <c r="B5" s="92" t="s">
        <v>342</v>
      </c>
      <c r="C5" s="94">
        <v>23800</v>
      </c>
      <c r="D5" s="4" t="s">
        <v>13</v>
      </c>
      <c r="E5" s="6">
        <v>46083</v>
      </c>
      <c r="F5" s="12"/>
      <c r="G5" s="79" t="s">
        <v>587</v>
      </c>
      <c r="H5" s="91" cm="1">
        <f t="array" ref="H5">SUM(I9:I30/22)</f>
        <v>93017.436818181814</v>
      </c>
    </row>
    <row r="6" spans="1:12" ht="15" thickBot="1" x14ac:dyDescent="0.35">
      <c r="A6" s="101">
        <v>15326</v>
      </c>
      <c r="B6" s="92" t="s">
        <v>343</v>
      </c>
      <c r="C6" s="94">
        <v>420</v>
      </c>
      <c r="D6" s="9" t="s">
        <v>16</v>
      </c>
      <c r="E6" s="6">
        <v>46083</v>
      </c>
      <c r="F6" s="12"/>
      <c r="H6" s="13"/>
    </row>
    <row r="7" spans="1:12" ht="15" thickBot="1" x14ac:dyDescent="0.35">
      <c r="A7" s="101">
        <v>15327</v>
      </c>
      <c r="B7" s="92" t="s">
        <v>344</v>
      </c>
      <c r="C7" s="94">
        <v>10000</v>
      </c>
      <c r="D7" s="4" t="s">
        <v>10</v>
      </c>
      <c r="E7" s="6">
        <v>46083</v>
      </c>
      <c r="F7" s="12"/>
      <c r="H7" s="75" t="s">
        <v>338</v>
      </c>
    </row>
    <row r="8" spans="1:12" ht="15" thickBot="1" x14ac:dyDescent="0.35">
      <c r="A8" s="101">
        <v>15332</v>
      </c>
      <c r="B8" s="92" t="s">
        <v>345</v>
      </c>
      <c r="C8" s="94">
        <v>6300</v>
      </c>
      <c r="D8" s="4" t="s">
        <v>10</v>
      </c>
      <c r="E8" s="6">
        <v>46084</v>
      </c>
      <c r="F8" s="12"/>
      <c r="H8" s="74" t="s">
        <v>339</v>
      </c>
      <c r="I8" s="75" t="s">
        <v>340</v>
      </c>
      <c r="J8" s="81" t="s">
        <v>14</v>
      </c>
      <c r="K8" s="88" t="s">
        <v>378</v>
      </c>
      <c r="L8" s="87" t="s">
        <v>504</v>
      </c>
    </row>
    <row r="9" spans="1:12" ht="15" thickBot="1" x14ac:dyDescent="0.35">
      <c r="A9" s="101">
        <v>15333</v>
      </c>
      <c r="B9" s="92" t="s">
        <v>346</v>
      </c>
      <c r="C9" s="94">
        <v>9500</v>
      </c>
      <c r="D9" s="4" t="s">
        <v>10</v>
      </c>
      <c r="E9" s="6">
        <v>46084</v>
      </c>
      <c r="F9" s="12"/>
      <c r="H9" s="71">
        <v>2</v>
      </c>
      <c r="I9" s="76">
        <f>SUM(C2:C7)</f>
        <v>77087.98</v>
      </c>
      <c r="J9" s="86">
        <v>79909.09</v>
      </c>
      <c r="K9" s="89">
        <f>SUM(I9-J9)</f>
        <v>-2821.1100000000006</v>
      </c>
      <c r="L9" s="90">
        <f>SUM(K9:K30)</f>
        <v>288383.63000000012</v>
      </c>
    </row>
    <row r="10" spans="1:12" ht="15" thickBot="1" x14ac:dyDescent="0.35">
      <c r="A10" s="101">
        <v>15334</v>
      </c>
      <c r="B10" s="92" t="s">
        <v>346</v>
      </c>
      <c r="C10" s="94">
        <v>9500</v>
      </c>
      <c r="D10" s="4" t="s">
        <v>10</v>
      </c>
      <c r="E10" s="6">
        <v>46084</v>
      </c>
      <c r="F10" s="12"/>
      <c r="H10" s="72">
        <v>3</v>
      </c>
      <c r="I10" s="77">
        <f>SUM(C8:C13)</f>
        <v>31914</v>
      </c>
      <c r="J10" s="86">
        <v>79909.09</v>
      </c>
      <c r="K10" s="53">
        <f>SUM(I10-J10)</f>
        <v>-47995.09</v>
      </c>
    </row>
    <row r="11" spans="1:12" ht="15" thickBot="1" x14ac:dyDescent="0.35">
      <c r="A11" s="101">
        <v>15336</v>
      </c>
      <c r="B11" s="92" t="s">
        <v>347</v>
      </c>
      <c r="C11" s="94">
        <v>426</v>
      </c>
      <c r="D11" s="4" t="s">
        <v>10</v>
      </c>
      <c r="E11" s="6">
        <v>46084</v>
      </c>
      <c r="F11" s="12"/>
      <c r="H11" s="72">
        <v>4</v>
      </c>
      <c r="I11" s="77">
        <f>SUM(C14:C22)</f>
        <v>58045.380000000005</v>
      </c>
      <c r="J11" s="86">
        <v>79909.09</v>
      </c>
      <c r="K11" s="53">
        <f>SUM(I11-J11)</f>
        <v>-21863.709999999992</v>
      </c>
    </row>
    <row r="12" spans="1:12" ht="15" thickBot="1" x14ac:dyDescent="0.35">
      <c r="A12" s="101">
        <v>15341</v>
      </c>
      <c r="B12" s="92" t="s">
        <v>348</v>
      </c>
      <c r="C12" s="94">
        <v>688</v>
      </c>
      <c r="D12" s="4" t="s">
        <v>10</v>
      </c>
      <c r="E12" s="6">
        <v>46084</v>
      </c>
      <c r="F12" s="12"/>
      <c r="H12" s="72">
        <v>5</v>
      </c>
      <c r="I12" s="77">
        <f>SUM(C23:C28)</f>
        <v>37999</v>
      </c>
      <c r="J12" s="86">
        <v>79909.09</v>
      </c>
      <c r="K12" s="53">
        <f>SUM(I12-J12)</f>
        <v>-41910.089999999997</v>
      </c>
    </row>
    <row r="13" spans="1:12" ht="15" thickBot="1" x14ac:dyDescent="0.35">
      <c r="A13" s="101">
        <v>15707</v>
      </c>
      <c r="B13" s="92" t="s">
        <v>349</v>
      </c>
      <c r="C13" s="94">
        <v>5500</v>
      </c>
      <c r="D13" s="4" t="s">
        <v>10</v>
      </c>
      <c r="E13" s="6">
        <v>46084</v>
      </c>
      <c r="F13" s="12" t="s">
        <v>350</v>
      </c>
      <c r="H13" s="72">
        <v>6</v>
      </c>
      <c r="I13" s="77">
        <f>SUM(C29:C38)</f>
        <v>28519.059999999998</v>
      </c>
      <c r="J13" s="86">
        <v>79909.09</v>
      </c>
      <c r="K13" s="53">
        <f t="shared" ref="K13:K30" si="0">SUM(I13-J13)</f>
        <v>-51390.03</v>
      </c>
    </row>
    <row r="14" spans="1:12" ht="15" thickBot="1" x14ac:dyDescent="0.35">
      <c r="A14" s="101">
        <v>15355</v>
      </c>
      <c r="B14" s="92" t="s">
        <v>354</v>
      </c>
      <c r="C14" s="94">
        <v>271.7</v>
      </c>
      <c r="D14" s="4" t="s">
        <v>25</v>
      </c>
      <c r="E14" s="6">
        <v>46085</v>
      </c>
      <c r="F14" s="12"/>
      <c r="H14" s="72">
        <v>9</v>
      </c>
      <c r="I14" s="77">
        <f>SUM(C39:C59)</f>
        <v>186028.51800000001</v>
      </c>
      <c r="J14" s="86">
        <v>79909.09</v>
      </c>
      <c r="K14" s="53">
        <f t="shared" si="0"/>
        <v>106119.42800000001</v>
      </c>
    </row>
    <row r="15" spans="1:12" ht="15" thickBot="1" x14ac:dyDescent="0.35">
      <c r="A15" s="101">
        <v>15356</v>
      </c>
      <c r="B15" s="92" t="s">
        <v>351</v>
      </c>
      <c r="C15" s="94">
        <v>12000</v>
      </c>
      <c r="D15" s="9" t="s">
        <v>10</v>
      </c>
      <c r="E15" s="6">
        <v>46085</v>
      </c>
      <c r="F15" s="12"/>
      <c r="H15" s="72">
        <v>10</v>
      </c>
      <c r="I15" s="77">
        <f>SUM(C60:C63)</f>
        <v>25081</v>
      </c>
      <c r="J15" s="86">
        <v>79909.09</v>
      </c>
      <c r="K15" s="53">
        <f t="shared" si="0"/>
        <v>-54828.09</v>
      </c>
    </row>
    <row r="16" spans="1:12" ht="15" thickBot="1" x14ac:dyDescent="0.35">
      <c r="A16" s="101">
        <v>15361</v>
      </c>
      <c r="B16" s="92" t="s">
        <v>352</v>
      </c>
      <c r="C16" s="94">
        <v>14734.78</v>
      </c>
      <c r="D16" s="4" t="s">
        <v>16</v>
      </c>
      <c r="E16" s="6">
        <v>46085</v>
      </c>
      <c r="F16" s="12" t="s">
        <v>353</v>
      </c>
      <c r="H16" s="72">
        <v>11</v>
      </c>
      <c r="I16" s="77">
        <f>SUM(C64:C76)</f>
        <v>133791.35</v>
      </c>
      <c r="J16" s="86">
        <v>79909.09</v>
      </c>
      <c r="K16" s="53">
        <f t="shared" si="0"/>
        <v>53882.260000000009</v>
      </c>
    </row>
    <row r="17" spans="1:11" ht="15" thickBot="1" x14ac:dyDescent="0.35">
      <c r="A17" s="101">
        <v>15363</v>
      </c>
      <c r="B17" s="92" t="s">
        <v>355</v>
      </c>
      <c r="C17" s="94">
        <v>4990</v>
      </c>
      <c r="D17" s="4" t="s">
        <v>16</v>
      </c>
      <c r="E17" s="6">
        <v>46085</v>
      </c>
      <c r="F17" s="12"/>
      <c r="H17" s="72">
        <v>12</v>
      </c>
      <c r="I17" s="77">
        <f>SUM(C77:C88)</f>
        <v>23364.22</v>
      </c>
      <c r="J17" s="86">
        <v>79909.09</v>
      </c>
      <c r="K17" s="53">
        <f t="shared" si="0"/>
        <v>-56544.869999999995</v>
      </c>
    </row>
    <row r="18" spans="1:11" ht="15" thickBot="1" x14ac:dyDescent="0.35">
      <c r="A18" s="101">
        <v>15364</v>
      </c>
      <c r="B18" s="92" t="s">
        <v>356</v>
      </c>
      <c r="C18" s="94">
        <v>990</v>
      </c>
      <c r="D18" s="4" t="s">
        <v>25</v>
      </c>
      <c r="E18" s="6">
        <v>46085</v>
      </c>
      <c r="F18" s="12"/>
      <c r="H18" s="72">
        <v>13</v>
      </c>
      <c r="I18" s="77">
        <f>SUM(C89:C101)</f>
        <v>55810.14</v>
      </c>
      <c r="J18" s="86">
        <v>79909.09</v>
      </c>
      <c r="K18" s="53">
        <f t="shared" si="0"/>
        <v>-24098.949999999997</v>
      </c>
    </row>
    <row r="19" spans="1:11" ht="15" thickBot="1" x14ac:dyDescent="0.35">
      <c r="A19" s="101">
        <v>15368</v>
      </c>
      <c r="B19" s="92" t="s">
        <v>357</v>
      </c>
      <c r="C19" s="94">
        <v>1319.9</v>
      </c>
      <c r="D19" s="4" t="s">
        <v>16</v>
      </c>
      <c r="E19" s="6">
        <v>46085</v>
      </c>
      <c r="F19" s="12"/>
      <c r="H19" s="72">
        <v>16</v>
      </c>
      <c r="I19" s="77">
        <f>SUM(C102:C113)</f>
        <v>110432.65</v>
      </c>
      <c r="J19" s="86">
        <v>79909.09</v>
      </c>
      <c r="K19" s="53">
        <f t="shared" si="0"/>
        <v>30523.559999999998</v>
      </c>
    </row>
    <row r="20" spans="1:11" ht="15" thickBot="1" x14ac:dyDescent="0.35">
      <c r="A20" s="101">
        <v>15370</v>
      </c>
      <c r="B20" s="92" t="s">
        <v>358</v>
      </c>
      <c r="C20" s="94">
        <v>10649</v>
      </c>
      <c r="D20" s="4" t="s">
        <v>16</v>
      </c>
      <c r="E20" s="6">
        <v>46085</v>
      </c>
      <c r="F20" s="12" t="s">
        <v>360</v>
      </c>
      <c r="H20" s="72">
        <v>17</v>
      </c>
      <c r="I20" s="77">
        <f>SUM(C114:C127)</f>
        <v>80178.429999999993</v>
      </c>
      <c r="J20" s="86">
        <v>79909.09</v>
      </c>
      <c r="K20" s="53">
        <f t="shared" si="0"/>
        <v>269.33999999999651</v>
      </c>
    </row>
    <row r="21" spans="1:11" ht="15" thickBot="1" x14ac:dyDescent="0.35">
      <c r="A21" s="101">
        <v>15371</v>
      </c>
      <c r="B21" s="92" t="s">
        <v>359</v>
      </c>
      <c r="C21" s="94">
        <v>190</v>
      </c>
      <c r="D21" s="9" t="s">
        <v>16</v>
      </c>
      <c r="E21" s="6">
        <v>46085</v>
      </c>
      <c r="F21" s="12"/>
      <c r="H21" s="72">
        <v>18</v>
      </c>
      <c r="I21" s="77">
        <f>SUM(C128:C141)</f>
        <v>148307.73000000001</v>
      </c>
      <c r="J21" s="86">
        <v>79909.09</v>
      </c>
      <c r="K21" s="53">
        <f t="shared" si="0"/>
        <v>68398.640000000014</v>
      </c>
    </row>
    <row r="22" spans="1:11" ht="15" thickBot="1" x14ac:dyDescent="0.35">
      <c r="A22" s="101">
        <v>15372</v>
      </c>
      <c r="B22" s="92" t="s">
        <v>361</v>
      </c>
      <c r="C22" s="94">
        <v>12900</v>
      </c>
      <c r="D22" s="4" t="s">
        <v>16</v>
      </c>
      <c r="E22" s="6">
        <v>46085</v>
      </c>
      <c r="F22" s="12"/>
      <c r="H22" s="72">
        <v>19</v>
      </c>
      <c r="I22" s="77">
        <f>SUM(C142:C152)</f>
        <v>299911.32199999999</v>
      </c>
      <c r="J22" s="86">
        <v>79909.09</v>
      </c>
      <c r="K22" s="53">
        <f>SUM(I22-J22)</f>
        <v>220002.23199999999</v>
      </c>
    </row>
    <row r="23" spans="1:11" ht="15" thickBot="1" x14ac:dyDescent="0.35">
      <c r="A23" s="101">
        <v>15378</v>
      </c>
      <c r="B23" s="92" t="s">
        <v>364</v>
      </c>
      <c r="C23" s="94">
        <v>69</v>
      </c>
      <c r="D23" s="4" t="s">
        <v>25</v>
      </c>
      <c r="E23" s="6">
        <v>46086</v>
      </c>
      <c r="F23" s="12"/>
      <c r="H23" s="72">
        <v>20</v>
      </c>
      <c r="I23" s="77">
        <f>SUM(C153:C162)</f>
        <v>45123.12</v>
      </c>
      <c r="J23" s="86">
        <v>79909.09</v>
      </c>
      <c r="K23" s="53">
        <f t="shared" si="0"/>
        <v>-34785.969999999994</v>
      </c>
    </row>
    <row r="24" spans="1:11" ht="15" thickBot="1" x14ac:dyDescent="0.35">
      <c r="A24" s="101">
        <v>15379</v>
      </c>
      <c r="B24" s="92" t="s">
        <v>363</v>
      </c>
      <c r="C24" s="94">
        <v>119</v>
      </c>
      <c r="D24" s="4" t="s">
        <v>25</v>
      </c>
      <c r="E24" s="6">
        <v>46086</v>
      </c>
      <c r="F24" s="12"/>
      <c r="H24" s="72">
        <v>23</v>
      </c>
      <c r="I24" s="77">
        <f>SUM(C163:C183)</f>
        <v>175214.93</v>
      </c>
      <c r="J24" s="86">
        <v>79909.09</v>
      </c>
      <c r="K24" s="53">
        <f t="shared" si="0"/>
        <v>95305.84</v>
      </c>
    </row>
    <row r="25" spans="1:11" ht="15" thickBot="1" x14ac:dyDescent="0.35">
      <c r="A25" s="101">
        <v>15380</v>
      </c>
      <c r="B25" s="92" t="s">
        <v>362</v>
      </c>
      <c r="C25" s="94">
        <v>99</v>
      </c>
      <c r="D25" s="4" t="s">
        <v>25</v>
      </c>
      <c r="E25" s="6">
        <v>46086</v>
      </c>
      <c r="F25" s="12"/>
      <c r="H25" s="72">
        <v>24</v>
      </c>
      <c r="I25" s="77">
        <f>SUM(C184:C205)</f>
        <v>75393.25</v>
      </c>
      <c r="J25" s="86">
        <v>79909.09</v>
      </c>
      <c r="K25" s="53">
        <f t="shared" si="0"/>
        <v>-4515.8399999999965</v>
      </c>
    </row>
    <row r="26" spans="1:11" ht="15" thickBot="1" x14ac:dyDescent="0.35">
      <c r="A26" s="101">
        <v>15388</v>
      </c>
      <c r="B26" s="92" t="s">
        <v>365</v>
      </c>
      <c r="C26" s="94">
        <v>14390</v>
      </c>
      <c r="D26" s="4" t="s">
        <v>16</v>
      </c>
      <c r="E26" s="6">
        <v>46086</v>
      </c>
      <c r="F26" s="12"/>
      <c r="H26" s="72">
        <v>25</v>
      </c>
      <c r="I26" s="77">
        <f>SUM(C206:C217)</f>
        <v>60464.81</v>
      </c>
      <c r="J26" s="86">
        <v>79909.09</v>
      </c>
      <c r="K26" s="53">
        <f t="shared" si="0"/>
        <v>-19444.28</v>
      </c>
    </row>
    <row r="27" spans="1:11" ht="15" thickBot="1" x14ac:dyDescent="0.35">
      <c r="A27" s="101">
        <v>15394</v>
      </c>
      <c r="B27" s="92" t="s">
        <v>366</v>
      </c>
      <c r="C27" s="94">
        <v>322</v>
      </c>
      <c r="D27" s="4" t="s">
        <v>16</v>
      </c>
      <c r="E27" s="6">
        <v>46086</v>
      </c>
      <c r="F27" s="12"/>
      <c r="H27" s="72">
        <v>26</v>
      </c>
      <c r="I27" s="77">
        <f>SUM(C218:C226)</f>
        <v>40547.4</v>
      </c>
      <c r="J27" s="86">
        <v>79909.09</v>
      </c>
      <c r="K27" s="53">
        <f t="shared" si="0"/>
        <v>-39361.689999999995</v>
      </c>
    </row>
    <row r="28" spans="1:11" ht="15" thickBot="1" x14ac:dyDescent="0.35">
      <c r="A28" s="101">
        <v>15396</v>
      </c>
      <c r="B28" s="92" t="s">
        <v>367</v>
      </c>
      <c r="C28" s="94">
        <v>23000</v>
      </c>
      <c r="D28" s="4" t="s">
        <v>10</v>
      </c>
      <c r="E28" s="6">
        <v>46086</v>
      </c>
      <c r="F28" s="12"/>
      <c r="H28" s="72">
        <v>27</v>
      </c>
      <c r="I28" s="77">
        <f>SUM(C227:C236)</f>
        <v>65822.37</v>
      </c>
      <c r="J28" s="86">
        <v>79909.09</v>
      </c>
      <c r="K28" s="53">
        <f t="shared" si="0"/>
        <v>-14086.720000000001</v>
      </c>
    </row>
    <row r="29" spans="1:11" ht="15" thickBot="1" x14ac:dyDescent="0.35">
      <c r="A29" s="92">
        <v>15398</v>
      </c>
      <c r="B29" s="92" t="s">
        <v>372</v>
      </c>
      <c r="C29" s="94">
        <v>69</v>
      </c>
      <c r="D29" s="4" t="s">
        <v>25</v>
      </c>
      <c r="E29" s="6">
        <v>46087</v>
      </c>
      <c r="F29" s="12"/>
      <c r="H29" s="72">
        <v>30</v>
      </c>
      <c r="I29" s="77">
        <f>SUM(C237:C249)</f>
        <v>107421.23000000001</v>
      </c>
      <c r="J29" s="86">
        <v>79909.09</v>
      </c>
      <c r="K29" s="53">
        <f t="shared" si="0"/>
        <v>27512.140000000014</v>
      </c>
    </row>
    <row r="30" spans="1:11" ht="15" thickBot="1" x14ac:dyDescent="0.35">
      <c r="A30" s="101">
        <v>15399</v>
      </c>
      <c r="B30" s="92" t="s">
        <v>369</v>
      </c>
      <c r="C30" s="94">
        <v>9585</v>
      </c>
      <c r="D30" s="4" t="s">
        <v>13</v>
      </c>
      <c r="E30" s="6">
        <v>46087</v>
      </c>
      <c r="F30" s="12"/>
      <c r="H30" s="73">
        <v>31</v>
      </c>
      <c r="I30" s="78">
        <f>SUM(C250:C273)</f>
        <v>179925.72</v>
      </c>
      <c r="J30" s="86">
        <v>79909.09</v>
      </c>
      <c r="K30" s="53">
        <f t="shared" si="0"/>
        <v>100016.63</v>
      </c>
    </row>
    <row r="31" spans="1:11" x14ac:dyDescent="0.3">
      <c r="A31" s="101">
        <v>15401</v>
      </c>
      <c r="B31" s="92" t="s">
        <v>374</v>
      </c>
      <c r="C31" s="94">
        <v>46.96</v>
      </c>
      <c r="D31" s="4" t="s">
        <v>25</v>
      </c>
      <c r="E31" s="6">
        <v>46087</v>
      </c>
      <c r="F31" s="12"/>
    </row>
    <row r="32" spans="1:11" x14ac:dyDescent="0.3">
      <c r="A32" s="101">
        <v>15402</v>
      </c>
      <c r="B32" s="92" t="s">
        <v>368</v>
      </c>
      <c r="C32" s="94">
        <v>11610</v>
      </c>
      <c r="D32" s="4" t="s">
        <v>10</v>
      </c>
      <c r="E32" s="6">
        <v>46087</v>
      </c>
      <c r="F32" s="12" t="s">
        <v>350</v>
      </c>
    </row>
    <row r="33" spans="1:6" x14ac:dyDescent="0.3">
      <c r="A33" s="101">
        <v>15405</v>
      </c>
      <c r="B33" s="92" t="s">
        <v>371</v>
      </c>
      <c r="C33" s="94">
        <v>6210</v>
      </c>
      <c r="D33" s="9" t="s">
        <v>10</v>
      </c>
      <c r="E33" s="6">
        <v>46087</v>
      </c>
      <c r="F33" s="12"/>
    </row>
    <row r="34" spans="1:6" x14ac:dyDescent="0.3">
      <c r="A34" s="101">
        <v>15411</v>
      </c>
      <c r="B34" s="92" t="s">
        <v>370</v>
      </c>
      <c r="C34" s="94">
        <v>15210</v>
      </c>
      <c r="D34" s="4" t="s">
        <v>16</v>
      </c>
      <c r="E34" s="6">
        <v>46087</v>
      </c>
      <c r="F34" s="12"/>
    </row>
    <row r="35" spans="1:6" x14ac:dyDescent="0.3">
      <c r="A35" s="101">
        <v>15415</v>
      </c>
      <c r="B35" s="92" t="s">
        <v>375</v>
      </c>
      <c r="C35" s="94">
        <v>5310</v>
      </c>
      <c r="D35" s="4" t="s">
        <v>16</v>
      </c>
      <c r="E35" s="6">
        <v>46087</v>
      </c>
      <c r="F35" s="12"/>
    </row>
    <row r="36" spans="1:6" x14ac:dyDescent="0.3">
      <c r="A36" s="101">
        <v>15417</v>
      </c>
      <c r="B36" s="92" t="s">
        <v>376</v>
      </c>
      <c r="C36" s="94">
        <v>8672</v>
      </c>
      <c r="D36" s="4" t="s">
        <v>16</v>
      </c>
      <c r="E36" s="6">
        <v>46087</v>
      </c>
      <c r="F36" s="12"/>
    </row>
    <row r="37" spans="1:6" x14ac:dyDescent="0.3">
      <c r="A37" s="101">
        <v>15508</v>
      </c>
      <c r="B37" s="92" t="s">
        <v>377</v>
      </c>
      <c r="C37" s="94">
        <v>14048.1</v>
      </c>
      <c r="D37" s="4" t="s">
        <v>10</v>
      </c>
      <c r="E37" s="6">
        <v>46087</v>
      </c>
      <c r="F37" s="12"/>
    </row>
    <row r="38" spans="1:6" x14ac:dyDescent="0.3">
      <c r="A38" s="101">
        <v>14513</v>
      </c>
      <c r="B38" s="92" t="s">
        <v>521</v>
      </c>
      <c r="C38" s="94">
        <v>-42242</v>
      </c>
      <c r="D38" s="4"/>
      <c r="E38" s="6">
        <v>46087</v>
      </c>
      <c r="F38" s="12" t="s">
        <v>522</v>
      </c>
    </row>
    <row r="39" spans="1:6" x14ac:dyDescent="0.3">
      <c r="A39" s="101">
        <v>15422</v>
      </c>
      <c r="B39" s="92" t="s">
        <v>387</v>
      </c>
      <c r="C39" s="94">
        <v>66.930000000000007</v>
      </c>
      <c r="D39" s="4" t="s">
        <v>25</v>
      </c>
      <c r="E39" s="6">
        <v>46090</v>
      </c>
      <c r="F39" s="12"/>
    </row>
    <row r="40" spans="1:6" x14ac:dyDescent="0.3">
      <c r="A40" s="101">
        <v>15423</v>
      </c>
      <c r="B40" s="92" t="s">
        <v>387</v>
      </c>
      <c r="C40" s="94">
        <v>96.03</v>
      </c>
      <c r="D40" s="4" t="s">
        <v>25</v>
      </c>
      <c r="E40" s="6">
        <v>46090</v>
      </c>
      <c r="F40" s="12"/>
    </row>
    <row r="41" spans="1:6" x14ac:dyDescent="0.3">
      <c r="A41" s="101">
        <v>15424</v>
      </c>
      <c r="B41" s="92" t="s">
        <v>388</v>
      </c>
      <c r="C41" s="94">
        <v>1144.5999999999999</v>
      </c>
      <c r="D41" s="4" t="s">
        <v>25</v>
      </c>
      <c r="E41" s="6">
        <v>46090</v>
      </c>
      <c r="F41" s="12"/>
    </row>
    <row r="42" spans="1:6" x14ac:dyDescent="0.3">
      <c r="A42" s="101">
        <v>15425</v>
      </c>
      <c r="B42" s="92" t="s">
        <v>388</v>
      </c>
      <c r="C42" s="94">
        <v>572.29999999999995</v>
      </c>
      <c r="D42" s="4" t="s">
        <v>25</v>
      </c>
      <c r="E42" s="6">
        <v>46090</v>
      </c>
      <c r="F42" s="12"/>
    </row>
    <row r="43" spans="1:6" x14ac:dyDescent="0.3">
      <c r="A43" s="101">
        <v>15426</v>
      </c>
      <c r="B43" s="92" t="s">
        <v>389</v>
      </c>
      <c r="C43" s="94">
        <v>5528.03</v>
      </c>
      <c r="D43" s="4" t="s">
        <v>25</v>
      </c>
      <c r="E43" s="6">
        <v>46090</v>
      </c>
      <c r="F43" s="12"/>
    </row>
    <row r="44" spans="1:6" x14ac:dyDescent="0.3">
      <c r="A44" s="101">
        <v>15428</v>
      </c>
      <c r="B44" s="92" t="s">
        <v>390</v>
      </c>
      <c r="C44" s="94">
        <v>5325.3</v>
      </c>
      <c r="D44" s="4" t="s">
        <v>25</v>
      </c>
      <c r="E44" s="6">
        <v>46090</v>
      </c>
      <c r="F44" s="12"/>
    </row>
    <row r="45" spans="1:6" x14ac:dyDescent="0.3">
      <c r="A45" s="101">
        <v>15429</v>
      </c>
      <c r="B45" s="92" t="s">
        <v>391</v>
      </c>
      <c r="C45" s="94">
        <v>572.29999999999995</v>
      </c>
      <c r="D45" s="9" t="s">
        <v>25</v>
      </c>
      <c r="E45" s="6">
        <v>46090</v>
      </c>
      <c r="F45" s="12"/>
    </row>
    <row r="46" spans="1:6" x14ac:dyDescent="0.3">
      <c r="A46" s="101">
        <v>15430</v>
      </c>
      <c r="B46" s="94" t="s">
        <v>392</v>
      </c>
      <c r="C46" s="94">
        <v>639.17999999999995</v>
      </c>
      <c r="D46" s="9" t="s">
        <v>25</v>
      </c>
      <c r="E46" s="6">
        <v>46090</v>
      </c>
      <c r="F46" s="12"/>
    </row>
    <row r="47" spans="1:6" x14ac:dyDescent="0.3">
      <c r="A47" s="101">
        <v>15435</v>
      </c>
      <c r="B47" s="92" t="s">
        <v>393</v>
      </c>
      <c r="C47" s="94">
        <v>138</v>
      </c>
      <c r="D47" s="4" t="s">
        <v>25</v>
      </c>
      <c r="E47" s="6">
        <v>46090</v>
      </c>
      <c r="F47" s="12"/>
    </row>
    <row r="48" spans="1:6" x14ac:dyDescent="0.3">
      <c r="A48" s="101">
        <v>15439</v>
      </c>
      <c r="B48" s="92" t="s">
        <v>394</v>
      </c>
      <c r="C48" s="94">
        <v>96.03</v>
      </c>
      <c r="D48" s="4" t="s">
        <v>25</v>
      </c>
      <c r="E48" s="6">
        <v>46090</v>
      </c>
      <c r="F48" s="12"/>
    </row>
    <row r="49" spans="1:6" x14ac:dyDescent="0.3">
      <c r="A49" s="101">
        <v>15441</v>
      </c>
      <c r="B49" s="92" t="s">
        <v>395</v>
      </c>
      <c r="C49" s="94">
        <v>14658.43</v>
      </c>
      <c r="D49" s="4" t="s">
        <v>25</v>
      </c>
      <c r="E49" s="6">
        <v>46090</v>
      </c>
      <c r="F49" s="12"/>
    </row>
    <row r="50" spans="1:6" x14ac:dyDescent="0.3">
      <c r="A50" s="101">
        <v>15445</v>
      </c>
      <c r="B50" s="92" t="s">
        <v>67</v>
      </c>
      <c r="C50" s="94">
        <v>8799</v>
      </c>
      <c r="D50" s="4" t="s">
        <v>10</v>
      </c>
      <c r="E50" s="6">
        <v>46090</v>
      </c>
      <c r="F50" s="12"/>
    </row>
    <row r="51" spans="1:6" x14ac:dyDescent="0.3">
      <c r="A51" s="101">
        <v>15449</v>
      </c>
      <c r="B51" s="92" t="s">
        <v>380</v>
      </c>
      <c r="C51" s="94">
        <v>15000</v>
      </c>
      <c r="D51" s="9" t="s">
        <v>10</v>
      </c>
      <c r="E51" s="6">
        <v>46090</v>
      </c>
      <c r="F51" s="12"/>
    </row>
    <row r="52" spans="1:6" x14ac:dyDescent="0.3">
      <c r="A52" s="101">
        <v>15450</v>
      </c>
      <c r="B52" s="92" t="s">
        <v>19</v>
      </c>
      <c r="C52" s="94">
        <v>5520</v>
      </c>
      <c r="D52" s="9" t="s">
        <v>10</v>
      </c>
      <c r="E52" s="6">
        <v>46090</v>
      </c>
      <c r="F52" s="12"/>
    </row>
    <row r="53" spans="1:6" x14ac:dyDescent="0.3">
      <c r="A53" s="101">
        <v>15456</v>
      </c>
      <c r="B53" s="92" t="s">
        <v>379</v>
      </c>
      <c r="C53" s="94">
        <v>9500</v>
      </c>
      <c r="D53" s="9" t="s">
        <v>10</v>
      </c>
      <c r="E53" s="6">
        <v>46090</v>
      </c>
      <c r="F53" s="12"/>
    </row>
    <row r="54" spans="1:6" x14ac:dyDescent="0.3">
      <c r="A54" s="101">
        <v>15462</v>
      </c>
      <c r="B54" s="92" t="s">
        <v>381</v>
      </c>
      <c r="C54" s="94">
        <v>1290</v>
      </c>
      <c r="D54" s="4" t="s">
        <v>10</v>
      </c>
      <c r="E54" s="6">
        <v>46090</v>
      </c>
      <c r="F54" s="12"/>
    </row>
    <row r="55" spans="1:6" x14ac:dyDescent="0.3">
      <c r="A55" s="101">
        <v>15463</v>
      </c>
      <c r="B55" s="92" t="s">
        <v>382</v>
      </c>
      <c r="C55" s="94">
        <v>4491</v>
      </c>
      <c r="D55" s="4" t="s">
        <v>16</v>
      </c>
      <c r="E55" s="6">
        <v>46090</v>
      </c>
      <c r="F55" s="12"/>
    </row>
    <row r="56" spans="1:6" x14ac:dyDescent="0.3">
      <c r="A56" s="101">
        <v>15466</v>
      </c>
      <c r="B56" s="92" t="s">
        <v>383</v>
      </c>
      <c r="C56" s="94">
        <v>4842</v>
      </c>
      <c r="D56" s="9" t="s">
        <v>16</v>
      </c>
      <c r="E56" s="6">
        <v>46090</v>
      </c>
      <c r="F56" s="12"/>
    </row>
    <row r="57" spans="1:6" x14ac:dyDescent="0.3">
      <c r="A57" s="101">
        <v>15478</v>
      </c>
      <c r="B57" s="92" t="s">
        <v>385</v>
      </c>
      <c r="C57" s="94">
        <v>81749.388000000006</v>
      </c>
      <c r="D57" s="4" t="s">
        <v>13</v>
      </c>
      <c r="E57" s="6">
        <v>46090</v>
      </c>
      <c r="F57" s="12" t="s">
        <v>386</v>
      </c>
    </row>
    <row r="58" spans="1:6" x14ac:dyDescent="0.3">
      <c r="A58" s="101">
        <v>15490</v>
      </c>
      <c r="B58" s="92" t="s">
        <v>396</v>
      </c>
      <c r="C58" s="94">
        <v>14390</v>
      </c>
      <c r="D58" s="9" t="s">
        <v>16</v>
      </c>
      <c r="E58" s="6">
        <v>46090</v>
      </c>
      <c r="F58" s="12"/>
    </row>
    <row r="59" spans="1:6" x14ac:dyDescent="0.3">
      <c r="A59" s="101">
        <v>15500</v>
      </c>
      <c r="B59" s="92" t="s">
        <v>397</v>
      </c>
      <c r="C59" s="94">
        <v>11610</v>
      </c>
      <c r="D59" s="4" t="s">
        <v>16</v>
      </c>
      <c r="E59" s="6">
        <v>46090</v>
      </c>
      <c r="F59" s="12" t="s">
        <v>398</v>
      </c>
    </row>
    <row r="60" spans="1:6" x14ac:dyDescent="0.3">
      <c r="A60" s="101">
        <v>15505</v>
      </c>
      <c r="B60" s="92" t="s">
        <v>399</v>
      </c>
      <c r="C60" s="94">
        <v>11565</v>
      </c>
      <c r="D60" s="4" t="s">
        <v>10</v>
      </c>
      <c r="E60" s="6">
        <v>46091</v>
      </c>
      <c r="F60" s="12"/>
    </row>
    <row r="61" spans="1:6" x14ac:dyDescent="0.3">
      <c r="A61" s="101">
        <v>15516</v>
      </c>
      <c r="B61" s="92" t="s">
        <v>401</v>
      </c>
      <c r="C61" s="94">
        <v>8520</v>
      </c>
      <c r="D61" s="4" t="s">
        <v>13</v>
      </c>
      <c r="E61" s="6">
        <v>46091</v>
      </c>
      <c r="F61" s="12" t="s">
        <v>402</v>
      </c>
    </row>
    <row r="62" spans="1:6" x14ac:dyDescent="0.3">
      <c r="A62" s="101">
        <v>15517</v>
      </c>
      <c r="B62" s="92" t="s">
        <v>403</v>
      </c>
      <c r="C62" s="94">
        <v>4720</v>
      </c>
      <c r="D62" s="4" t="s">
        <v>16</v>
      </c>
      <c r="E62" s="6">
        <v>46091</v>
      </c>
      <c r="F62" s="12"/>
    </row>
    <row r="63" spans="1:6" x14ac:dyDescent="0.3">
      <c r="A63" s="101">
        <v>15536</v>
      </c>
      <c r="B63" s="92" t="s">
        <v>400</v>
      </c>
      <c r="C63" s="94">
        <v>276</v>
      </c>
      <c r="D63" s="4" t="s">
        <v>13</v>
      </c>
      <c r="E63" s="6">
        <v>46091</v>
      </c>
      <c r="F63" s="12"/>
    </row>
    <row r="64" spans="1:6" x14ac:dyDescent="0.3">
      <c r="A64" s="101">
        <v>15520</v>
      </c>
      <c r="B64" s="92" t="s">
        <v>409</v>
      </c>
      <c r="C64" s="94">
        <v>543.4</v>
      </c>
      <c r="D64" s="4" t="s">
        <v>25</v>
      </c>
      <c r="E64" s="6">
        <v>46092</v>
      </c>
      <c r="F64" s="12"/>
    </row>
    <row r="65" spans="1:8" x14ac:dyDescent="0.3">
      <c r="A65" s="101">
        <v>15522</v>
      </c>
      <c r="B65" s="92" t="s">
        <v>410</v>
      </c>
      <c r="C65" s="94">
        <v>626.77</v>
      </c>
      <c r="D65" s="4" t="s">
        <v>25</v>
      </c>
      <c r="E65" s="6">
        <v>46092</v>
      </c>
      <c r="F65" s="12"/>
      <c r="H65" s="13"/>
    </row>
    <row r="66" spans="1:8" x14ac:dyDescent="0.3">
      <c r="A66" s="101">
        <v>15523</v>
      </c>
      <c r="B66" s="92" t="s">
        <v>411</v>
      </c>
      <c r="C66" s="94">
        <v>11.64</v>
      </c>
      <c r="D66" s="4" t="s">
        <v>25</v>
      </c>
      <c r="E66" s="6">
        <v>46092</v>
      </c>
      <c r="F66" s="12"/>
    </row>
    <row r="67" spans="1:8" x14ac:dyDescent="0.3">
      <c r="A67" s="101">
        <v>15524</v>
      </c>
      <c r="B67" s="92" t="s">
        <v>404</v>
      </c>
      <c r="C67" s="94">
        <v>62880</v>
      </c>
      <c r="D67" s="4" t="s">
        <v>10</v>
      </c>
      <c r="E67" s="6">
        <v>46092</v>
      </c>
      <c r="F67" s="12"/>
    </row>
    <row r="68" spans="1:8" x14ac:dyDescent="0.3">
      <c r="A68" s="101">
        <v>15526</v>
      </c>
      <c r="B68" s="92" t="s">
        <v>412</v>
      </c>
      <c r="C68" s="94">
        <v>11.64</v>
      </c>
      <c r="D68" s="4" t="s">
        <v>25</v>
      </c>
      <c r="E68" s="6">
        <v>46092</v>
      </c>
      <c r="F68" s="12"/>
    </row>
    <row r="69" spans="1:8" x14ac:dyDescent="0.3">
      <c r="A69" s="101">
        <v>15537</v>
      </c>
      <c r="B69" s="92" t="s">
        <v>373</v>
      </c>
      <c r="C69" s="94">
        <v>99</v>
      </c>
      <c r="D69" s="9" t="s">
        <v>25</v>
      </c>
      <c r="E69" s="6">
        <v>46092</v>
      </c>
      <c r="F69" s="12"/>
    </row>
    <row r="70" spans="1:8" x14ac:dyDescent="0.3">
      <c r="A70" s="101">
        <v>15552</v>
      </c>
      <c r="B70" s="92" t="s">
        <v>405</v>
      </c>
      <c r="C70" s="94">
        <v>20648.8</v>
      </c>
      <c r="D70" s="4" t="s">
        <v>13</v>
      </c>
      <c r="E70" s="6">
        <v>46092</v>
      </c>
      <c r="F70" s="12" t="s">
        <v>386</v>
      </c>
    </row>
    <row r="71" spans="1:8" x14ac:dyDescent="0.3">
      <c r="A71" s="101">
        <v>15556</v>
      </c>
      <c r="B71" s="92" t="s">
        <v>406</v>
      </c>
      <c r="C71" s="94">
        <v>11565</v>
      </c>
      <c r="D71" s="4" t="s">
        <v>10</v>
      </c>
      <c r="E71" s="6">
        <v>46092</v>
      </c>
      <c r="F71" s="12"/>
    </row>
    <row r="72" spans="1:8" x14ac:dyDescent="0.3">
      <c r="A72" s="101">
        <v>15557</v>
      </c>
      <c r="B72" s="92" t="s">
        <v>407</v>
      </c>
      <c r="C72" s="94">
        <v>5310</v>
      </c>
      <c r="D72" s="4" t="s">
        <v>16</v>
      </c>
      <c r="E72" s="6">
        <v>46092</v>
      </c>
      <c r="F72" s="12"/>
    </row>
    <row r="73" spans="1:8" x14ac:dyDescent="0.3">
      <c r="A73" s="101">
        <v>15558</v>
      </c>
      <c r="B73" s="92" t="s">
        <v>408</v>
      </c>
      <c r="C73" s="94">
        <v>9584.1</v>
      </c>
      <c r="D73" s="4" t="s">
        <v>16</v>
      </c>
      <c r="E73" s="6">
        <v>46092</v>
      </c>
      <c r="F73" s="12"/>
    </row>
    <row r="74" spans="1:8" x14ac:dyDescent="0.3">
      <c r="A74" s="101">
        <v>15560</v>
      </c>
      <c r="B74" s="92" t="s">
        <v>413</v>
      </c>
      <c r="C74" s="94">
        <v>965</v>
      </c>
      <c r="D74" s="4" t="s">
        <v>10</v>
      </c>
      <c r="E74" s="6">
        <v>46092</v>
      </c>
      <c r="F74" s="12"/>
    </row>
    <row r="75" spans="1:8" x14ac:dyDescent="0.3">
      <c r="A75" s="101">
        <v>15561</v>
      </c>
      <c r="B75" s="92" t="s">
        <v>259</v>
      </c>
      <c r="C75" s="94">
        <v>936</v>
      </c>
      <c r="D75" s="9" t="s">
        <v>10</v>
      </c>
      <c r="E75" s="6">
        <v>46092</v>
      </c>
      <c r="F75" s="12"/>
    </row>
    <row r="76" spans="1:8" x14ac:dyDescent="0.3">
      <c r="A76" s="101">
        <v>15564</v>
      </c>
      <c r="B76" s="92" t="s">
        <v>414</v>
      </c>
      <c r="C76" s="94">
        <v>20610</v>
      </c>
      <c r="D76" s="9" t="s">
        <v>16</v>
      </c>
      <c r="E76" s="6">
        <v>46092</v>
      </c>
      <c r="F76" s="12"/>
    </row>
    <row r="77" spans="1:8" x14ac:dyDescent="0.3">
      <c r="A77" s="101">
        <v>15567</v>
      </c>
      <c r="B77" s="92" t="s">
        <v>419</v>
      </c>
      <c r="C77" s="94">
        <v>338.2</v>
      </c>
      <c r="D77" s="9" t="s">
        <v>25</v>
      </c>
      <c r="E77" s="6">
        <v>46093</v>
      </c>
      <c r="F77" s="12"/>
    </row>
    <row r="78" spans="1:8" x14ac:dyDescent="0.3">
      <c r="A78" s="101">
        <v>15568</v>
      </c>
      <c r="B78" s="92" t="s">
        <v>420</v>
      </c>
      <c r="C78" s="94">
        <v>133.86000000000001</v>
      </c>
      <c r="D78" s="4" t="s">
        <v>25</v>
      </c>
      <c r="E78" s="6">
        <v>46093</v>
      </c>
      <c r="F78" s="12"/>
    </row>
    <row r="79" spans="1:8" x14ac:dyDescent="0.3">
      <c r="A79" s="101">
        <v>15569</v>
      </c>
      <c r="B79" s="92" t="s">
        <v>420</v>
      </c>
      <c r="C79" s="94">
        <v>96.03</v>
      </c>
      <c r="D79" s="4" t="s">
        <v>25</v>
      </c>
      <c r="E79" s="6">
        <v>46093</v>
      </c>
      <c r="F79" s="12"/>
    </row>
    <row r="80" spans="1:8" x14ac:dyDescent="0.3">
      <c r="A80" s="101">
        <v>15570</v>
      </c>
      <c r="B80" s="92" t="s">
        <v>421</v>
      </c>
      <c r="C80" s="94">
        <v>187.15</v>
      </c>
      <c r="D80" s="4" t="s">
        <v>25</v>
      </c>
      <c r="E80" s="6">
        <v>46093</v>
      </c>
      <c r="F80" s="12"/>
    </row>
    <row r="81" spans="1:6" x14ac:dyDescent="0.3">
      <c r="A81" s="101">
        <v>15571</v>
      </c>
      <c r="B81" s="92" t="s">
        <v>422</v>
      </c>
      <c r="C81" s="94">
        <v>633.41</v>
      </c>
      <c r="D81" s="9" t="s">
        <v>25</v>
      </c>
      <c r="E81" s="6">
        <v>46093</v>
      </c>
      <c r="F81" s="12"/>
    </row>
    <row r="82" spans="1:6" x14ac:dyDescent="0.3">
      <c r="A82" s="101">
        <v>15572</v>
      </c>
      <c r="B82" s="92" t="s">
        <v>423</v>
      </c>
      <c r="C82" s="94">
        <v>189.93</v>
      </c>
      <c r="D82" s="9" t="s">
        <v>25</v>
      </c>
      <c r="E82" s="6">
        <v>46093</v>
      </c>
      <c r="F82" s="12"/>
    </row>
    <row r="83" spans="1:6" x14ac:dyDescent="0.3">
      <c r="A83" s="101">
        <v>15577</v>
      </c>
      <c r="B83" s="92" t="s">
        <v>416</v>
      </c>
      <c r="C83" s="94">
        <v>1028</v>
      </c>
      <c r="D83" s="9" t="s">
        <v>16</v>
      </c>
      <c r="E83" s="6">
        <v>46093</v>
      </c>
      <c r="F83" s="12"/>
    </row>
    <row r="84" spans="1:6" x14ac:dyDescent="0.3">
      <c r="A84" s="101">
        <v>15578</v>
      </c>
      <c r="B84" s="92" t="s">
        <v>424</v>
      </c>
      <c r="C84" s="94">
        <v>11.64</v>
      </c>
      <c r="D84" s="4" t="s">
        <v>25</v>
      </c>
      <c r="E84" s="6">
        <v>46093</v>
      </c>
      <c r="F84" s="12"/>
    </row>
    <row r="85" spans="1:6" x14ac:dyDescent="0.3">
      <c r="A85" s="101">
        <v>15590</v>
      </c>
      <c r="B85" s="92" t="s">
        <v>415</v>
      </c>
      <c r="C85" s="94">
        <v>12792</v>
      </c>
      <c r="D85" s="9" t="s">
        <v>16</v>
      </c>
      <c r="E85" s="6">
        <v>46093</v>
      </c>
      <c r="F85" s="12"/>
    </row>
    <row r="86" spans="1:6" x14ac:dyDescent="0.3">
      <c r="A86" s="101">
        <v>15592</v>
      </c>
      <c r="B86" s="92" t="s">
        <v>417</v>
      </c>
      <c r="C86" s="94">
        <v>3264</v>
      </c>
      <c r="D86" s="9" t="s">
        <v>16</v>
      </c>
      <c r="E86" s="6">
        <v>46093</v>
      </c>
      <c r="F86" s="12"/>
    </row>
    <row r="87" spans="1:6" x14ac:dyDescent="0.3">
      <c r="A87" s="101">
        <v>15595</v>
      </c>
      <c r="B87" s="92" t="s">
        <v>459</v>
      </c>
      <c r="C87" s="94">
        <v>199</v>
      </c>
      <c r="D87" s="4" t="s">
        <v>13</v>
      </c>
      <c r="E87" s="6">
        <v>46093</v>
      </c>
      <c r="F87" s="12"/>
    </row>
    <row r="88" spans="1:6" x14ac:dyDescent="0.3">
      <c r="A88" s="101">
        <v>15597</v>
      </c>
      <c r="B88" s="92" t="s">
        <v>418</v>
      </c>
      <c r="C88" s="94">
        <v>4491</v>
      </c>
      <c r="D88" s="9" t="s">
        <v>16</v>
      </c>
      <c r="E88" s="11">
        <v>46093</v>
      </c>
      <c r="F88" s="12"/>
    </row>
    <row r="89" spans="1:6" x14ac:dyDescent="0.3">
      <c r="A89" s="101">
        <v>15427</v>
      </c>
      <c r="B89" s="92" t="s">
        <v>432</v>
      </c>
      <c r="C89" s="94">
        <v>66.930000000000007</v>
      </c>
      <c r="D89" s="9" t="s">
        <v>25</v>
      </c>
      <c r="E89" s="6">
        <v>46094</v>
      </c>
      <c r="F89" s="12"/>
    </row>
    <row r="90" spans="1:6" x14ac:dyDescent="0.3">
      <c r="A90" s="102">
        <v>15600</v>
      </c>
      <c r="B90" s="97" t="s">
        <v>433</v>
      </c>
      <c r="C90" s="94">
        <v>133.86000000000001</v>
      </c>
      <c r="D90" s="9" t="s">
        <v>25</v>
      </c>
      <c r="E90" s="11">
        <v>46094</v>
      </c>
      <c r="F90" s="12"/>
    </row>
    <row r="91" spans="1:6" x14ac:dyDescent="0.3">
      <c r="A91" s="101">
        <v>15601</v>
      </c>
      <c r="B91" s="92" t="s">
        <v>434</v>
      </c>
      <c r="C91" s="94">
        <v>572.29999999999995</v>
      </c>
      <c r="D91" s="9" t="s">
        <v>25</v>
      </c>
      <c r="E91" s="6">
        <v>46094</v>
      </c>
      <c r="F91" s="21"/>
    </row>
    <row r="92" spans="1:6" x14ac:dyDescent="0.3">
      <c r="A92" s="101">
        <v>15602</v>
      </c>
      <c r="B92" s="92" t="s">
        <v>435</v>
      </c>
      <c r="C92" s="94">
        <v>133.86000000000001</v>
      </c>
      <c r="D92" s="9" t="s">
        <v>25</v>
      </c>
      <c r="E92" s="11">
        <v>46094</v>
      </c>
      <c r="F92" s="12"/>
    </row>
    <row r="93" spans="1:6" x14ac:dyDescent="0.3">
      <c r="A93" s="101">
        <v>15603</v>
      </c>
      <c r="B93" s="92" t="s">
        <v>436</v>
      </c>
      <c r="C93" s="94">
        <v>250.26</v>
      </c>
      <c r="D93" s="9" t="s">
        <v>25</v>
      </c>
      <c r="E93" s="6">
        <v>46094</v>
      </c>
      <c r="F93" s="12"/>
    </row>
    <row r="94" spans="1:6" x14ac:dyDescent="0.3">
      <c r="A94" s="101">
        <v>15604</v>
      </c>
      <c r="B94" s="92" t="s">
        <v>437</v>
      </c>
      <c r="C94" s="94">
        <v>66.930000000000007</v>
      </c>
      <c r="D94" s="4" t="s">
        <v>25</v>
      </c>
      <c r="E94" s="11">
        <v>46094</v>
      </c>
      <c r="F94" s="12"/>
    </row>
    <row r="95" spans="1:6" x14ac:dyDescent="0.3">
      <c r="A95" s="101">
        <v>15606</v>
      </c>
      <c r="B95" s="92" t="s">
        <v>425</v>
      </c>
      <c r="C95" s="94">
        <v>792</v>
      </c>
      <c r="D95" s="4" t="s">
        <v>16</v>
      </c>
      <c r="E95" s="6">
        <v>46094</v>
      </c>
      <c r="F95" s="12"/>
    </row>
    <row r="96" spans="1:6" x14ac:dyDescent="0.3">
      <c r="A96" s="101">
        <v>15608</v>
      </c>
      <c r="B96" s="92" t="s">
        <v>426</v>
      </c>
      <c r="C96" s="94">
        <v>12411</v>
      </c>
      <c r="D96" s="9" t="s">
        <v>16</v>
      </c>
      <c r="E96" s="11">
        <v>46094</v>
      </c>
      <c r="F96" s="12" t="s">
        <v>398</v>
      </c>
    </row>
    <row r="97" spans="1:6" x14ac:dyDescent="0.3">
      <c r="A97" s="101">
        <v>15610</v>
      </c>
      <c r="B97" s="92" t="s">
        <v>427</v>
      </c>
      <c r="C97" s="94">
        <v>652</v>
      </c>
      <c r="D97" s="9" t="s">
        <v>16</v>
      </c>
      <c r="E97" s="6">
        <v>46094</v>
      </c>
      <c r="F97" s="34"/>
    </row>
    <row r="98" spans="1:6" x14ac:dyDescent="0.3">
      <c r="A98" s="101">
        <v>15613</v>
      </c>
      <c r="B98" s="92" t="s">
        <v>428</v>
      </c>
      <c r="C98" s="94">
        <v>20610</v>
      </c>
      <c r="D98" s="9" t="s">
        <v>16</v>
      </c>
      <c r="E98" s="11">
        <v>46094</v>
      </c>
      <c r="F98" s="12"/>
    </row>
    <row r="99" spans="1:6" x14ac:dyDescent="0.3">
      <c r="A99" s="101">
        <v>15614</v>
      </c>
      <c r="B99" s="92" t="s">
        <v>429</v>
      </c>
      <c r="C99" s="94">
        <v>4491</v>
      </c>
      <c r="D99" s="4" t="s">
        <v>16</v>
      </c>
      <c r="E99" s="6">
        <v>46094</v>
      </c>
      <c r="F99" s="12" t="s">
        <v>398</v>
      </c>
    </row>
    <row r="100" spans="1:6" x14ac:dyDescent="0.3">
      <c r="A100" s="101">
        <v>15618</v>
      </c>
      <c r="B100" s="92" t="s">
        <v>430</v>
      </c>
      <c r="C100" s="94">
        <v>420</v>
      </c>
      <c r="D100" s="4" t="s">
        <v>16</v>
      </c>
      <c r="E100" s="11">
        <v>46094</v>
      </c>
      <c r="F100" s="12" t="s">
        <v>398</v>
      </c>
    </row>
    <row r="101" spans="1:6" x14ac:dyDescent="0.3">
      <c r="A101" s="101">
        <v>15619</v>
      </c>
      <c r="B101" s="92" t="s">
        <v>431</v>
      </c>
      <c r="C101" s="94">
        <v>15210</v>
      </c>
      <c r="D101" s="4" t="s">
        <v>16</v>
      </c>
      <c r="E101" s="6">
        <v>46094</v>
      </c>
      <c r="F101" s="12"/>
    </row>
    <row r="102" spans="1:6" x14ac:dyDescent="0.3">
      <c r="A102" s="101">
        <v>15620</v>
      </c>
      <c r="B102" s="92" t="s">
        <v>438</v>
      </c>
      <c r="C102" s="94">
        <v>66.930000000000007</v>
      </c>
      <c r="D102" s="4" t="s">
        <v>25</v>
      </c>
      <c r="E102" s="6">
        <v>46097</v>
      </c>
      <c r="F102" s="12"/>
    </row>
    <row r="103" spans="1:6" x14ac:dyDescent="0.3">
      <c r="A103" s="101">
        <v>15621</v>
      </c>
      <c r="B103" s="92" t="s">
        <v>439</v>
      </c>
      <c r="C103" s="94">
        <v>4437</v>
      </c>
      <c r="D103" s="4" t="s">
        <v>25</v>
      </c>
      <c r="E103" s="6">
        <v>46097</v>
      </c>
      <c r="F103" s="12"/>
    </row>
    <row r="104" spans="1:6" x14ac:dyDescent="0.3">
      <c r="A104" s="101">
        <v>15622</v>
      </c>
      <c r="B104" s="92" t="s">
        <v>440</v>
      </c>
      <c r="C104" s="94">
        <v>5181.5200000000004</v>
      </c>
      <c r="D104" s="4" t="s">
        <v>25</v>
      </c>
      <c r="E104" s="6">
        <v>46097</v>
      </c>
      <c r="F104" s="12"/>
    </row>
    <row r="105" spans="1:6" x14ac:dyDescent="0.3">
      <c r="A105" s="101">
        <v>15624</v>
      </c>
      <c r="B105" s="92" t="s">
        <v>441</v>
      </c>
      <c r="C105" s="94">
        <v>3992</v>
      </c>
      <c r="D105" s="4" t="s">
        <v>10</v>
      </c>
      <c r="E105" s="6">
        <v>46097</v>
      </c>
      <c r="F105" s="12"/>
    </row>
    <row r="106" spans="1:6" x14ac:dyDescent="0.3">
      <c r="A106" s="101">
        <v>15627</v>
      </c>
      <c r="B106" s="92" t="s">
        <v>442</v>
      </c>
      <c r="C106" s="94">
        <v>20610</v>
      </c>
      <c r="D106" s="9" t="s">
        <v>10</v>
      </c>
      <c r="E106" s="6">
        <v>46097</v>
      </c>
      <c r="F106" s="12"/>
    </row>
    <row r="107" spans="1:6" x14ac:dyDescent="0.3">
      <c r="A107" s="101">
        <v>15631</v>
      </c>
      <c r="B107" s="92" t="s">
        <v>443</v>
      </c>
      <c r="C107" s="94">
        <v>5310</v>
      </c>
      <c r="D107" s="4" t="s">
        <v>16</v>
      </c>
      <c r="E107" s="6">
        <v>46097</v>
      </c>
      <c r="F107" s="12"/>
    </row>
    <row r="108" spans="1:6" x14ac:dyDescent="0.3">
      <c r="A108" s="101">
        <v>15634</v>
      </c>
      <c r="B108" s="92" t="s">
        <v>444</v>
      </c>
      <c r="C108" s="94">
        <v>792</v>
      </c>
      <c r="D108" s="9" t="s">
        <v>10</v>
      </c>
      <c r="E108" s="6">
        <v>46097</v>
      </c>
      <c r="F108" s="12"/>
    </row>
    <row r="109" spans="1:6" x14ac:dyDescent="0.3">
      <c r="A109" s="101">
        <v>15637</v>
      </c>
      <c r="B109" s="92" t="s">
        <v>445</v>
      </c>
      <c r="C109" s="94">
        <v>48350</v>
      </c>
      <c r="D109" s="4" t="s">
        <v>16</v>
      </c>
      <c r="E109" s="6">
        <v>46097</v>
      </c>
      <c r="F109" s="12"/>
    </row>
    <row r="110" spans="1:6" x14ac:dyDescent="0.3">
      <c r="A110" s="102">
        <v>15647</v>
      </c>
      <c r="B110" s="97" t="s">
        <v>446</v>
      </c>
      <c r="C110" s="94">
        <v>8519.2000000000007</v>
      </c>
      <c r="D110" s="9" t="s">
        <v>10</v>
      </c>
      <c r="E110" s="6">
        <v>46097</v>
      </c>
      <c r="F110" s="12"/>
    </row>
    <row r="111" spans="1:6" x14ac:dyDescent="0.3">
      <c r="A111" s="101">
        <v>15648</v>
      </c>
      <c r="B111" s="92" t="s">
        <v>447</v>
      </c>
      <c r="C111" s="94">
        <v>11610</v>
      </c>
      <c r="D111" s="9" t="s">
        <v>16</v>
      </c>
      <c r="E111" s="6">
        <v>46097</v>
      </c>
      <c r="F111" s="12" t="s">
        <v>448</v>
      </c>
    </row>
    <row r="112" spans="1:6" x14ac:dyDescent="0.3">
      <c r="A112" s="101">
        <v>15649</v>
      </c>
      <c r="B112" s="92" t="s">
        <v>341</v>
      </c>
      <c r="C112" s="94">
        <v>782</v>
      </c>
      <c r="D112" s="4" t="s">
        <v>16</v>
      </c>
      <c r="E112" s="6">
        <v>46097</v>
      </c>
      <c r="F112" s="12" t="s">
        <v>398</v>
      </c>
    </row>
    <row r="113" spans="1:6" x14ac:dyDescent="0.3">
      <c r="A113" s="25">
        <v>15656</v>
      </c>
      <c r="B113" s="92" t="s">
        <v>449</v>
      </c>
      <c r="C113" s="28">
        <v>782</v>
      </c>
      <c r="D113" s="9" t="s">
        <v>16</v>
      </c>
      <c r="E113" s="6">
        <v>46097</v>
      </c>
      <c r="F113" s="12" t="s">
        <v>398</v>
      </c>
    </row>
    <row r="114" spans="1:6" x14ac:dyDescent="0.3">
      <c r="A114" s="101">
        <v>15639</v>
      </c>
      <c r="B114" s="92" t="s">
        <v>467</v>
      </c>
      <c r="C114" s="94">
        <v>99</v>
      </c>
      <c r="D114" s="4" t="s">
        <v>25</v>
      </c>
      <c r="E114" s="6">
        <v>46098</v>
      </c>
      <c r="F114" s="12"/>
    </row>
    <row r="115" spans="1:6" x14ac:dyDescent="0.3">
      <c r="A115" s="101">
        <v>15657</v>
      </c>
      <c r="B115" s="92" t="s">
        <v>468</v>
      </c>
      <c r="C115" s="94">
        <v>198.55</v>
      </c>
      <c r="D115" s="4" t="s">
        <v>25</v>
      </c>
      <c r="E115" s="6">
        <v>46098</v>
      </c>
      <c r="F115" s="12" t="s">
        <v>477</v>
      </c>
    </row>
    <row r="116" spans="1:6" x14ac:dyDescent="0.3">
      <c r="A116" s="101">
        <v>15658</v>
      </c>
      <c r="B116" s="92" t="s">
        <v>469</v>
      </c>
      <c r="C116" s="94">
        <v>207</v>
      </c>
      <c r="D116" s="4" t="s">
        <v>25</v>
      </c>
      <c r="E116" s="6">
        <v>46098</v>
      </c>
      <c r="F116" s="12"/>
    </row>
    <row r="117" spans="1:6" x14ac:dyDescent="0.3">
      <c r="A117" s="101">
        <v>15659</v>
      </c>
      <c r="B117" s="92" t="s">
        <v>134</v>
      </c>
      <c r="C117" s="94">
        <v>193.03</v>
      </c>
      <c r="D117" s="9" t="s">
        <v>25</v>
      </c>
      <c r="E117" s="6">
        <v>46098</v>
      </c>
      <c r="F117" s="12"/>
    </row>
    <row r="118" spans="1:6" x14ac:dyDescent="0.3">
      <c r="A118" s="101">
        <v>15660</v>
      </c>
      <c r="B118" s="92" t="s">
        <v>458</v>
      </c>
      <c r="C118" s="94">
        <v>8776</v>
      </c>
      <c r="D118" s="9" t="s">
        <v>13</v>
      </c>
      <c r="E118" s="6">
        <v>46098</v>
      </c>
      <c r="F118" s="12"/>
    </row>
    <row r="119" spans="1:6" x14ac:dyDescent="0.3">
      <c r="A119" s="101">
        <v>15661</v>
      </c>
      <c r="B119" s="92" t="s">
        <v>450</v>
      </c>
      <c r="C119" s="94">
        <v>5130</v>
      </c>
      <c r="D119" s="9" t="s">
        <v>10</v>
      </c>
      <c r="E119" s="6">
        <v>46098</v>
      </c>
      <c r="F119" s="12" t="s">
        <v>451</v>
      </c>
    </row>
    <row r="120" spans="1:6" x14ac:dyDescent="0.3">
      <c r="A120" s="101">
        <v>15668</v>
      </c>
      <c r="B120" s="92" t="s">
        <v>452</v>
      </c>
      <c r="C120" s="94">
        <v>5300</v>
      </c>
      <c r="D120" s="4" t="s">
        <v>10</v>
      </c>
      <c r="E120" s="6">
        <v>46098</v>
      </c>
      <c r="F120" s="12"/>
    </row>
    <row r="121" spans="1:6" x14ac:dyDescent="0.3">
      <c r="A121" s="101">
        <v>15672</v>
      </c>
      <c r="B121" s="92" t="s">
        <v>453</v>
      </c>
      <c r="C121" s="94">
        <v>620</v>
      </c>
      <c r="D121" s="9" t="s">
        <v>10</v>
      </c>
      <c r="E121" s="6">
        <v>46098</v>
      </c>
      <c r="F121" s="12"/>
    </row>
    <row r="122" spans="1:6" x14ac:dyDescent="0.3">
      <c r="A122" s="101">
        <v>15673</v>
      </c>
      <c r="B122" s="92" t="s">
        <v>454</v>
      </c>
      <c r="C122" s="94">
        <v>9584.1</v>
      </c>
      <c r="D122" s="9" t="s">
        <v>16</v>
      </c>
      <c r="E122" s="6">
        <v>46098</v>
      </c>
      <c r="F122" s="12" t="s">
        <v>455</v>
      </c>
    </row>
    <row r="123" spans="1:6" x14ac:dyDescent="0.3">
      <c r="A123" s="101">
        <v>15677</v>
      </c>
      <c r="B123" s="92" t="s">
        <v>384</v>
      </c>
      <c r="C123" s="94">
        <v>14391</v>
      </c>
      <c r="D123" s="9" t="s">
        <v>16</v>
      </c>
      <c r="E123" s="6">
        <v>46098</v>
      </c>
      <c r="F123" s="12" t="s">
        <v>456</v>
      </c>
    </row>
    <row r="124" spans="1:6" x14ac:dyDescent="0.3">
      <c r="A124" s="101">
        <v>15682</v>
      </c>
      <c r="B124" s="92" t="s">
        <v>457</v>
      </c>
      <c r="C124" s="94">
        <v>14391</v>
      </c>
      <c r="D124" s="9" t="s">
        <v>16</v>
      </c>
      <c r="E124" s="6">
        <v>46098</v>
      </c>
      <c r="F124" s="12"/>
    </row>
    <row r="125" spans="1:6" x14ac:dyDescent="0.3">
      <c r="A125" s="101">
        <v>15684</v>
      </c>
      <c r="B125" s="92" t="s">
        <v>460</v>
      </c>
      <c r="C125" s="94">
        <v>6210</v>
      </c>
      <c r="D125" s="9" t="s">
        <v>16</v>
      </c>
      <c r="E125" s="6">
        <v>46098</v>
      </c>
      <c r="F125" s="31"/>
    </row>
    <row r="126" spans="1:6" x14ac:dyDescent="0.3">
      <c r="A126" s="101">
        <v>15685</v>
      </c>
      <c r="B126" s="92" t="s">
        <v>461</v>
      </c>
      <c r="C126" s="94">
        <v>688.75</v>
      </c>
      <c r="D126" s="9" t="s">
        <v>16</v>
      </c>
      <c r="E126" s="6">
        <v>46098</v>
      </c>
      <c r="F126" s="12"/>
    </row>
    <row r="127" spans="1:6" x14ac:dyDescent="0.3">
      <c r="A127" s="101">
        <v>15703</v>
      </c>
      <c r="B127" s="92" t="s">
        <v>470</v>
      </c>
      <c r="C127" s="94">
        <v>14390</v>
      </c>
      <c r="D127" s="4" t="s">
        <v>16</v>
      </c>
      <c r="E127" s="6">
        <v>46098</v>
      </c>
      <c r="F127" s="12"/>
    </row>
    <row r="128" spans="1:6" x14ac:dyDescent="0.3">
      <c r="A128" s="101">
        <v>15694</v>
      </c>
      <c r="B128" s="92" t="s">
        <v>464</v>
      </c>
      <c r="C128" s="94">
        <v>11.64</v>
      </c>
      <c r="D128" s="4" t="s">
        <v>25</v>
      </c>
      <c r="E128" s="6">
        <v>46099</v>
      </c>
      <c r="F128" s="12"/>
    </row>
    <row r="129" spans="1:6" x14ac:dyDescent="0.3">
      <c r="A129" s="101">
        <v>15695</v>
      </c>
      <c r="B129" s="92" t="s">
        <v>465</v>
      </c>
      <c r="C129" s="94">
        <v>11.64</v>
      </c>
      <c r="D129" s="9" t="s">
        <v>25</v>
      </c>
      <c r="E129" s="6">
        <v>46099</v>
      </c>
      <c r="F129" s="12"/>
    </row>
    <row r="130" spans="1:6" x14ac:dyDescent="0.3">
      <c r="A130" s="101">
        <v>15696</v>
      </c>
      <c r="B130" s="92" t="s">
        <v>462</v>
      </c>
      <c r="C130" s="94">
        <v>4560</v>
      </c>
      <c r="D130" s="9" t="s">
        <v>10</v>
      </c>
      <c r="E130" s="6">
        <v>46099</v>
      </c>
      <c r="F130" s="12"/>
    </row>
    <row r="131" spans="1:6" x14ac:dyDescent="0.3">
      <c r="A131" s="101">
        <v>15699</v>
      </c>
      <c r="B131" s="92" t="s">
        <v>466</v>
      </c>
      <c r="C131" s="94">
        <v>21489.45</v>
      </c>
      <c r="D131" s="4" t="s">
        <v>25</v>
      </c>
      <c r="E131" s="6">
        <v>46099</v>
      </c>
      <c r="F131" s="12"/>
    </row>
    <row r="132" spans="1:6" x14ac:dyDescent="0.3">
      <c r="A132" s="101">
        <v>15700</v>
      </c>
      <c r="B132" s="92" t="s">
        <v>463</v>
      </c>
      <c r="C132" s="94">
        <v>5382</v>
      </c>
      <c r="D132" s="9" t="s">
        <v>10</v>
      </c>
      <c r="E132" s="6">
        <v>46099</v>
      </c>
      <c r="F132" s="12"/>
    </row>
    <row r="133" spans="1:6" x14ac:dyDescent="0.3">
      <c r="A133" s="101">
        <v>15702</v>
      </c>
      <c r="B133" s="92" t="s">
        <v>473</v>
      </c>
      <c r="C133" s="94">
        <v>241.5</v>
      </c>
      <c r="D133" s="9" t="s">
        <v>25</v>
      </c>
      <c r="E133" s="6">
        <v>46099</v>
      </c>
      <c r="F133" s="12"/>
    </row>
    <row r="134" spans="1:6" x14ac:dyDescent="0.3">
      <c r="A134" s="101">
        <v>15704</v>
      </c>
      <c r="B134" s="92" t="s">
        <v>472</v>
      </c>
      <c r="C134" s="94">
        <v>193.2</v>
      </c>
      <c r="D134" s="9" t="s">
        <v>25</v>
      </c>
      <c r="E134" s="6">
        <v>46099</v>
      </c>
      <c r="F134" s="12"/>
    </row>
    <row r="135" spans="1:6" x14ac:dyDescent="0.3">
      <c r="A135" s="92">
        <v>15705</v>
      </c>
      <c r="B135" s="92" t="s">
        <v>471</v>
      </c>
      <c r="C135" s="94">
        <v>9584.1</v>
      </c>
      <c r="D135" s="4" t="s">
        <v>13</v>
      </c>
      <c r="E135" s="6">
        <v>46099</v>
      </c>
      <c r="F135" s="12"/>
    </row>
    <row r="136" spans="1:6" x14ac:dyDescent="0.3">
      <c r="A136" s="92">
        <v>15708</v>
      </c>
      <c r="B136" s="92" t="s">
        <v>474</v>
      </c>
      <c r="C136" s="94">
        <v>11610</v>
      </c>
      <c r="D136" s="4" t="s">
        <v>10</v>
      </c>
      <c r="E136" s="6">
        <v>46099</v>
      </c>
      <c r="F136" s="12"/>
    </row>
    <row r="137" spans="1:6" x14ac:dyDescent="0.3">
      <c r="A137" s="101">
        <v>15709</v>
      </c>
      <c r="B137" s="92" t="s">
        <v>31</v>
      </c>
      <c r="C137" s="94">
        <v>581</v>
      </c>
      <c r="D137" s="4" t="s">
        <v>10</v>
      </c>
      <c r="E137" s="6">
        <v>46099</v>
      </c>
      <c r="F137" s="12"/>
    </row>
    <row r="138" spans="1:6" x14ac:dyDescent="0.3">
      <c r="A138" s="101">
        <v>16048</v>
      </c>
      <c r="B138" s="92" t="s">
        <v>475</v>
      </c>
      <c r="C138" s="94">
        <v>21149.1</v>
      </c>
      <c r="D138" s="9" t="s">
        <v>10</v>
      </c>
      <c r="E138" s="6">
        <v>46099</v>
      </c>
      <c r="F138" s="12" t="s">
        <v>476</v>
      </c>
    </row>
    <row r="139" spans="1:6" x14ac:dyDescent="0.3">
      <c r="A139" s="101">
        <v>15713</v>
      </c>
      <c r="B139" s="92" t="s">
        <v>200</v>
      </c>
      <c r="C139" s="94">
        <v>9584.1</v>
      </c>
      <c r="D139" s="4" t="s">
        <v>16</v>
      </c>
      <c r="E139" s="6">
        <v>46099</v>
      </c>
      <c r="F139" s="12"/>
    </row>
    <row r="140" spans="1:6" x14ac:dyDescent="0.3">
      <c r="A140" s="101">
        <v>15719</v>
      </c>
      <c r="B140" s="92" t="s">
        <v>479</v>
      </c>
      <c r="C140" s="94">
        <v>46000</v>
      </c>
      <c r="D140" s="9" t="s">
        <v>16</v>
      </c>
      <c r="E140" s="6">
        <v>46099</v>
      </c>
      <c r="F140" s="12"/>
    </row>
    <row r="141" spans="1:6" x14ac:dyDescent="0.3">
      <c r="A141" s="92">
        <v>15916</v>
      </c>
      <c r="B141" s="92" t="s">
        <v>478</v>
      </c>
      <c r="C141" s="94">
        <v>17910</v>
      </c>
      <c r="D141" s="9" t="s">
        <v>10</v>
      </c>
      <c r="E141" s="11">
        <v>46099</v>
      </c>
      <c r="F141" s="12"/>
    </row>
    <row r="142" spans="1:6" ht="15.75" customHeight="1" x14ac:dyDescent="0.3">
      <c r="A142" s="92">
        <v>15710</v>
      </c>
      <c r="B142" s="92" t="s">
        <v>484</v>
      </c>
      <c r="C142" s="94">
        <v>218</v>
      </c>
      <c r="D142" s="9" t="s">
        <v>25</v>
      </c>
      <c r="E142" s="11">
        <v>46100</v>
      </c>
      <c r="F142" s="12"/>
    </row>
    <row r="143" spans="1:6" x14ac:dyDescent="0.3">
      <c r="A143" s="101">
        <v>15712</v>
      </c>
      <c r="B143" s="92" t="s">
        <v>480</v>
      </c>
      <c r="C143" s="94">
        <v>63.58</v>
      </c>
      <c r="D143" s="9" t="s">
        <v>25</v>
      </c>
      <c r="E143" s="6">
        <v>46100</v>
      </c>
      <c r="F143" s="12"/>
    </row>
    <row r="144" spans="1:6" x14ac:dyDescent="0.3">
      <c r="A144" s="101">
        <v>15714</v>
      </c>
      <c r="B144" s="92" t="s">
        <v>481</v>
      </c>
      <c r="C144" s="94">
        <v>11.64</v>
      </c>
      <c r="D144" s="9" t="s">
        <v>25</v>
      </c>
      <c r="E144" s="6">
        <v>46100</v>
      </c>
      <c r="F144" s="12"/>
    </row>
    <row r="145" spans="1:6" x14ac:dyDescent="0.3">
      <c r="A145" s="27">
        <v>15720</v>
      </c>
      <c r="B145" s="92" t="s">
        <v>482</v>
      </c>
      <c r="C145" s="30">
        <v>11.64</v>
      </c>
      <c r="D145" s="9" t="s">
        <v>25</v>
      </c>
      <c r="E145" s="6">
        <v>46100</v>
      </c>
      <c r="F145" s="12"/>
    </row>
    <row r="146" spans="1:6" x14ac:dyDescent="0.3">
      <c r="A146" s="101">
        <v>15721</v>
      </c>
      <c r="B146" s="92" t="s">
        <v>485</v>
      </c>
      <c r="C146" s="94">
        <v>23.28</v>
      </c>
      <c r="D146" s="9" t="s">
        <v>25</v>
      </c>
      <c r="E146" s="6">
        <v>46100</v>
      </c>
      <c r="F146" s="12"/>
    </row>
    <row r="147" spans="1:6" x14ac:dyDescent="0.3">
      <c r="A147" s="101">
        <v>15722</v>
      </c>
      <c r="B147" s="92" t="s">
        <v>483</v>
      </c>
      <c r="C147" s="94">
        <v>200.79</v>
      </c>
      <c r="D147" s="9" t="s">
        <v>25</v>
      </c>
      <c r="E147" s="11">
        <v>46100</v>
      </c>
      <c r="F147" s="12"/>
    </row>
    <row r="148" spans="1:6" x14ac:dyDescent="0.3">
      <c r="A148" s="103">
        <v>15729</v>
      </c>
      <c r="B148" s="98" t="s">
        <v>486</v>
      </c>
      <c r="C148" s="100">
        <v>5520</v>
      </c>
      <c r="D148" s="15" t="s">
        <v>16</v>
      </c>
      <c r="E148" s="11">
        <v>46100</v>
      </c>
      <c r="F148" s="12"/>
    </row>
    <row r="149" spans="1:6" x14ac:dyDescent="0.3">
      <c r="A149" s="103">
        <v>15733</v>
      </c>
      <c r="B149" s="98" t="s">
        <v>487</v>
      </c>
      <c r="C149" s="100">
        <v>33351.68</v>
      </c>
      <c r="D149" s="9" t="s">
        <v>13</v>
      </c>
      <c r="E149" s="11">
        <v>46100</v>
      </c>
      <c r="F149" s="12" t="s">
        <v>386</v>
      </c>
    </row>
    <row r="150" spans="1:6" x14ac:dyDescent="0.3">
      <c r="A150" s="103">
        <v>15736</v>
      </c>
      <c r="B150" s="98" t="s">
        <v>488</v>
      </c>
      <c r="C150" s="100">
        <v>15210</v>
      </c>
      <c r="D150" s="15" t="s">
        <v>16</v>
      </c>
      <c r="E150" s="11">
        <v>46100</v>
      </c>
      <c r="F150" s="12"/>
    </row>
    <row r="151" spans="1:6" x14ac:dyDescent="0.3">
      <c r="A151" s="103">
        <v>15739</v>
      </c>
      <c r="B151" s="98" t="s">
        <v>489</v>
      </c>
      <c r="C151" s="100">
        <v>227390.712</v>
      </c>
      <c r="D151" s="9" t="s">
        <v>13</v>
      </c>
      <c r="E151" s="11">
        <v>46100</v>
      </c>
      <c r="F151" s="12" t="s">
        <v>386</v>
      </c>
    </row>
    <row r="152" spans="1:6" x14ac:dyDescent="0.3">
      <c r="A152" s="103">
        <v>15754</v>
      </c>
      <c r="B152" s="98" t="s">
        <v>490</v>
      </c>
      <c r="C152" s="100">
        <v>17910</v>
      </c>
      <c r="D152" s="9" t="s">
        <v>16</v>
      </c>
      <c r="E152" s="11">
        <v>46100</v>
      </c>
      <c r="F152" s="12"/>
    </row>
    <row r="153" spans="1:6" x14ac:dyDescent="0.3">
      <c r="A153" s="101">
        <v>15715</v>
      </c>
      <c r="B153" s="92" t="s">
        <v>492</v>
      </c>
      <c r="C153" s="94">
        <v>794.2</v>
      </c>
      <c r="D153" s="9" t="s">
        <v>25</v>
      </c>
      <c r="E153" s="6">
        <v>46101</v>
      </c>
      <c r="F153" s="12"/>
    </row>
    <row r="154" spans="1:6" x14ac:dyDescent="0.3">
      <c r="A154" s="105">
        <v>15734</v>
      </c>
      <c r="B154" s="98" t="s">
        <v>171</v>
      </c>
      <c r="C154" s="106">
        <v>119</v>
      </c>
      <c r="D154" s="9" t="s">
        <v>25</v>
      </c>
      <c r="E154" s="6">
        <v>46101</v>
      </c>
      <c r="F154" s="12"/>
    </row>
    <row r="155" spans="1:6" x14ac:dyDescent="0.3">
      <c r="A155" s="107">
        <v>15756</v>
      </c>
      <c r="B155" s="98" t="s">
        <v>491</v>
      </c>
      <c r="C155" s="108">
        <v>5310</v>
      </c>
      <c r="D155" s="9" t="s">
        <v>16</v>
      </c>
      <c r="E155" s="6">
        <v>46101</v>
      </c>
      <c r="F155" s="12"/>
    </row>
    <row r="156" spans="1:6" x14ac:dyDescent="0.3">
      <c r="A156" s="103">
        <v>15757</v>
      </c>
      <c r="B156" s="98" t="s">
        <v>493</v>
      </c>
      <c r="C156" s="100">
        <v>11.64</v>
      </c>
      <c r="D156" s="9" t="s">
        <v>25</v>
      </c>
      <c r="E156" s="6">
        <v>46101</v>
      </c>
      <c r="F156" s="12"/>
    </row>
    <row r="157" spans="1:6" x14ac:dyDescent="0.3">
      <c r="A157" s="103">
        <v>15758</v>
      </c>
      <c r="B157" s="98" t="s">
        <v>494</v>
      </c>
      <c r="C157" s="100">
        <v>11.64</v>
      </c>
      <c r="D157" s="9" t="s">
        <v>25</v>
      </c>
      <c r="E157" s="6">
        <v>46101</v>
      </c>
      <c r="F157" s="12"/>
    </row>
    <row r="158" spans="1:6" x14ac:dyDescent="0.3">
      <c r="A158" s="103">
        <v>15759</v>
      </c>
      <c r="B158" s="98" t="s">
        <v>495</v>
      </c>
      <c r="C158" s="100">
        <v>11.64</v>
      </c>
      <c r="D158" s="15" t="s">
        <v>25</v>
      </c>
      <c r="E158" s="6">
        <v>46101</v>
      </c>
      <c r="F158" s="12"/>
    </row>
    <row r="159" spans="1:6" x14ac:dyDescent="0.3">
      <c r="A159" s="103">
        <v>15768</v>
      </c>
      <c r="B159" s="98" t="s">
        <v>496</v>
      </c>
      <c r="C159" s="100">
        <v>5481</v>
      </c>
      <c r="D159" s="15" t="s">
        <v>16</v>
      </c>
      <c r="E159" s="6">
        <v>46101</v>
      </c>
      <c r="F159" s="12"/>
    </row>
    <row r="160" spans="1:6" x14ac:dyDescent="0.3">
      <c r="A160" s="98">
        <v>15778</v>
      </c>
      <c r="B160" s="98" t="s">
        <v>497</v>
      </c>
      <c r="C160" s="100">
        <v>5382</v>
      </c>
      <c r="D160" s="9" t="s">
        <v>10</v>
      </c>
      <c r="E160" s="6">
        <v>46101</v>
      </c>
      <c r="F160" s="12"/>
    </row>
    <row r="161" spans="1:6" x14ac:dyDescent="0.3">
      <c r="A161" s="103">
        <v>15779</v>
      </c>
      <c r="B161" s="98" t="s">
        <v>498</v>
      </c>
      <c r="C161" s="100">
        <v>12792</v>
      </c>
      <c r="D161" s="9" t="s">
        <v>16</v>
      </c>
      <c r="E161" s="6">
        <v>46101</v>
      </c>
      <c r="F161" s="12"/>
    </row>
    <row r="162" spans="1:6" x14ac:dyDescent="0.3">
      <c r="A162" s="103">
        <v>15780</v>
      </c>
      <c r="B162" s="98" t="s">
        <v>499</v>
      </c>
      <c r="C162" s="100">
        <v>15210</v>
      </c>
      <c r="D162" s="9" t="s">
        <v>16</v>
      </c>
      <c r="E162" s="17">
        <v>46101</v>
      </c>
      <c r="F162" s="31"/>
    </row>
    <row r="163" spans="1:6" x14ac:dyDescent="0.3">
      <c r="A163" s="103">
        <v>15772</v>
      </c>
      <c r="B163" s="98" t="s">
        <v>505</v>
      </c>
      <c r="C163" s="100">
        <v>20600</v>
      </c>
      <c r="D163" s="15" t="s">
        <v>10</v>
      </c>
      <c r="E163" s="17">
        <v>46104</v>
      </c>
      <c r="F163" s="12" t="s">
        <v>506</v>
      </c>
    </row>
    <row r="164" spans="1:6" x14ac:dyDescent="0.3">
      <c r="A164" s="103">
        <v>15783</v>
      </c>
      <c r="B164" s="98" t="s">
        <v>500</v>
      </c>
      <c r="C164" s="100">
        <v>4720</v>
      </c>
      <c r="D164" s="9" t="s">
        <v>16</v>
      </c>
      <c r="E164" s="17">
        <v>46104</v>
      </c>
      <c r="F164" s="12"/>
    </row>
    <row r="165" spans="1:6" x14ac:dyDescent="0.3">
      <c r="A165" s="103">
        <v>15784</v>
      </c>
      <c r="B165" s="98" t="s">
        <v>501</v>
      </c>
      <c r="C165" s="100">
        <v>5344.5</v>
      </c>
      <c r="D165" s="9" t="s">
        <v>16</v>
      </c>
      <c r="E165" s="11">
        <v>46104</v>
      </c>
      <c r="F165" s="12"/>
    </row>
    <row r="166" spans="1:6" x14ac:dyDescent="0.3">
      <c r="A166" s="103">
        <v>15785</v>
      </c>
      <c r="B166" s="98" t="s">
        <v>502</v>
      </c>
      <c r="C166" s="100">
        <v>4751</v>
      </c>
      <c r="D166" s="15" t="s">
        <v>16</v>
      </c>
      <c r="E166" s="6">
        <v>46104</v>
      </c>
      <c r="F166" s="12" t="s">
        <v>398</v>
      </c>
    </row>
    <row r="167" spans="1:6" x14ac:dyDescent="0.3">
      <c r="A167" s="103">
        <v>15787</v>
      </c>
      <c r="B167" s="98" t="s">
        <v>508</v>
      </c>
      <c r="C167" s="100">
        <v>258.83999999999997</v>
      </c>
      <c r="D167" s="15" t="s">
        <v>25</v>
      </c>
      <c r="E167" s="6">
        <v>46104</v>
      </c>
      <c r="F167" s="12"/>
    </row>
    <row r="168" spans="1:6" x14ac:dyDescent="0.3">
      <c r="A168" s="103">
        <v>15788</v>
      </c>
      <c r="B168" s="98" t="s">
        <v>509</v>
      </c>
      <c r="C168" s="100">
        <v>5297.7</v>
      </c>
      <c r="D168" s="9" t="s">
        <v>25</v>
      </c>
      <c r="E168" s="6">
        <v>46104</v>
      </c>
      <c r="F168" s="12"/>
    </row>
    <row r="169" spans="1:6" x14ac:dyDescent="0.3">
      <c r="A169" s="103">
        <v>15789</v>
      </c>
      <c r="B169" s="98" t="s">
        <v>510</v>
      </c>
      <c r="C169" s="100">
        <v>254.32</v>
      </c>
      <c r="D169" s="9" t="s">
        <v>25</v>
      </c>
      <c r="E169" s="6">
        <v>46104</v>
      </c>
      <c r="F169" s="12"/>
    </row>
    <row r="170" spans="1:6" x14ac:dyDescent="0.3">
      <c r="A170" s="103">
        <v>15791</v>
      </c>
      <c r="B170" s="98" t="s">
        <v>511</v>
      </c>
      <c r="C170" s="100">
        <v>17632.61</v>
      </c>
      <c r="D170" s="9" t="s">
        <v>25</v>
      </c>
      <c r="E170" s="6">
        <v>46104</v>
      </c>
      <c r="F170" s="31"/>
    </row>
    <row r="171" spans="1:6" x14ac:dyDescent="0.3">
      <c r="A171" s="103">
        <v>15792</v>
      </c>
      <c r="B171" s="98" t="s">
        <v>512</v>
      </c>
      <c r="C171" s="100">
        <v>1642.83</v>
      </c>
      <c r="D171" s="9" t="s">
        <v>25</v>
      </c>
      <c r="E171" s="6">
        <v>46104</v>
      </c>
      <c r="F171" s="12"/>
    </row>
    <row r="172" spans="1:6" x14ac:dyDescent="0.3">
      <c r="A172" s="103">
        <v>15793</v>
      </c>
      <c r="B172" s="98" t="s">
        <v>512</v>
      </c>
      <c r="C172" s="100">
        <v>560.5</v>
      </c>
      <c r="D172" s="9" t="s">
        <v>25</v>
      </c>
      <c r="E172" s="6">
        <v>46104</v>
      </c>
      <c r="F172" s="12"/>
    </row>
    <row r="173" spans="1:6" x14ac:dyDescent="0.3">
      <c r="A173" s="103">
        <v>15794</v>
      </c>
      <c r="B173" s="98" t="s">
        <v>513</v>
      </c>
      <c r="C173" s="100">
        <v>47.53</v>
      </c>
      <c r="D173" s="9" t="s">
        <v>25</v>
      </c>
      <c r="E173" s="6">
        <v>46104</v>
      </c>
      <c r="F173" s="12"/>
    </row>
    <row r="174" spans="1:6" x14ac:dyDescent="0.3">
      <c r="A174" s="103">
        <v>15795</v>
      </c>
      <c r="B174" s="98" t="s">
        <v>503</v>
      </c>
      <c r="C174" s="100">
        <v>17910</v>
      </c>
      <c r="D174" s="9" t="s">
        <v>16</v>
      </c>
      <c r="E174" s="6">
        <v>46104</v>
      </c>
      <c r="F174" s="12"/>
    </row>
    <row r="175" spans="1:6" x14ac:dyDescent="0.3">
      <c r="A175" s="103">
        <v>15802</v>
      </c>
      <c r="B175" s="98" t="s">
        <v>507</v>
      </c>
      <c r="C175" s="100">
        <v>3992</v>
      </c>
      <c r="D175" s="15" t="s">
        <v>10</v>
      </c>
      <c r="E175" s="6">
        <v>46104</v>
      </c>
      <c r="F175" s="12"/>
    </row>
    <row r="176" spans="1:6" x14ac:dyDescent="0.3">
      <c r="A176" s="103">
        <v>15810</v>
      </c>
      <c r="B176" s="98" t="s">
        <v>514</v>
      </c>
      <c r="C176" s="100">
        <v>12860</v>
      </c>
      <c r="D176" s="15" t="s">
        <v>10</v>
      </c>
      <c r="E176" s="6">
        <v>46104</v>
      </c>
      <c r="F176" s="12"/>
    </row>
    <row r="177" spans="1:6" x14ac:dyDescent="0.3">
      <c r="A177" s="103">
        <v>15814</v>
      </c>
      <c r="B177" s="98" t="s">
        <v>515</v>
      </c>
      <c r="C177" s="100">
        <v>9584.1</v>
      </c>
      <c r="D177" s="15" t="s">
        <v>10</v>
      </c>
      <c r="E177" s="6">
        <v>46104</v>
      </c>
      <c r="F177" s="12" t="s">
        <v>517</v>
      </c>
    </row>
    <row r="178" spans="1:6" x14ac:dyDescent="0.3">
      <c r="A178" s="103">
        <v>15815</v>
      </c>
      <c r="B178" s="98" t="s">
        <v>516</v>
      </c>
      <c r="C178" s="100">
        <v>11610</v>
      </c>
      <c r="D178" s="15" t="s">
        <v>10</v>
      </c>
      <c r="E178" s="6">
        <v>46104</v>
      </c>
      <c r="F178" s="12"/>
    </row>
    <row r="179" spans="1:6" x14ac:dyDescent="0.3">
      <c r="A179" s="103">
        <v>15816</v>
      </c>
      <c r="B179" s="98" t="s">
        <v>518</v>
      </c>
      <c r="C179" s="100">
        <v>5310</v>
      </c>
      <c r="D179" s="15" t="s">
        <v>16</v>
      </c>
      <c r="E179" s="6">
        <v>46104</v>
      </c>
      <c r="F179" s="12" t="s">
        <v>398</v>
      </c>
    </row>
    <row r="180" spans="1:6" x14ac:dyDescent="0.3">
      <c r="A180" s="103">
        <v>15817</v>
      </c>
      <c r="B180" s="98" t="s">
        <v>519</v>
      </c>
      <c r="C180" s="100">
        <v>23120</v>
      </c>
      <c r="D180" s="15" t="s">
        <v>13</v>
      </c>
      <c r="E180" s="11">
        <v>46104</v>
      </c>
      <c r="F180" s="12" t="s">
        <v>520</v>
      </c>
    </row>
    <row r="181" spans="1:6" x14ac:dyDescent="0.3">
      <c r="A181" s="103">
        <v>15818</v>
      </c>
      <c r="B181" s="98" t="s">
        <v>523</v>
      </c>
      <c r="C181" s="100">
        <v>119</v>
      </c>
      <c r="D181" s="15" t="s">
        <v>13</v>
      </c>
      <c r="E181" s="11">
        <v>46104</v>
      </c>
      <c r="F181" s="12"/>
    </row>
    <row r="182" spans="1:6" x14ac:dyDescent="0.3">
      <c r="A182" s="103">
        <v>15821</v>
      </c>
      <c r="B182" s="98" t="s">
        <v>470</v>
      </c>
      <c r="C182" s="100">
        <v>14390</v>
      </c>
      <c r="D182" s="15" t="s">
        <v>16</v>
      </c>
      <c r="E182" s="11">
        <v>46104</v>
      </c>
      <c r="F182" s="12"/>
    </row>
    <row r="183" spans="1:6" x14ac:dyDescent="0.3">
      <c r="A183" s="103">
        <v>15825</v>
      </c>
      <c r="B183" s="98" t="s">
        <v>524</v>
      </c>
      <c r="C183" s="100">
        <v>15210</v>
      </c>
      <c r="D183" s="9" t="s">
        <v>16</v>
      </c>
      <c r="E183" s="11">
        <v>46104</v>
      </c>
      <c r="F183" s="12"/>
    </row>
    <row r="184" spans="1:6" x14ac:dyDescent="0.3">
      <c r="A184" s="103">
        <v>15806</v>
      </c>
      <c r="B184" s="98" t="s">
        <v>528</v>
      </c>
      <c r="C184" s="100">
        <v>595.65</v>
      </c>
      <c r="D184" s="15" t="s">
        <v>25</v>
      </c>
      <c r="E184" s="11">
        <v>46105</v>
      </c>
      <c r="F184" s="12"/>
    </row>
    <row r="185" spans="1:6" x14ac:dyDescent="0.3">
      <c r="A185" s="103">
        <v>15807</v>
      </c>
      <c r="B185" s="98" t="s">
        <v>529</v>
      </c>
      <c r="C185" s="100">
        <v>5181.5200000000004</v>
      </c>
      <c r="D185" s="15" t="s">
        <v>25</v>
      </c>
      <c r="E185" s="11">
        <v>46105</v>
      </c>
      <c r="F185" s="12"/>
    </row>
    <row r="186" spans="1:6" x14ac:dyDescent="0.3">
      <c r="A186" s="103">
        <v>15808</v>
      </c>
      <c r="B186" s="98" t="s">
        <v>530</v>
      </c>
      <c r="C186" s="100">
        <v>99</v>
      </c>
      <c r="D186" s="9" t="s">
        <v>25</v>
      </c>
      <c r="E186" s="11">
        <v>46105</v>
      </c>
      <c r="F186" s="12"/>
    </row>
    <row r="187" spans="1:6" x14ac:dyDescent="0.3">
      <c r="A187" s="103">
        <v>15820</v>
      </c>
      <c r="B187" s="98" t="s">
        <v>531</v>
      </c>
      <c r="C187" s="100">
        <v>1090</v>
      </c>
      <c r="D187" s="9" t="s">
        <v>25</v>
      </c>
      <c r="E187" s="11">
        <v>46105</v>
      </c>
      <c r="F187" s="12"/>
    </row>
    <row r="188" spans="1:6" x14ac:dyDescent="0.3">
      <c r="A188" s="103">
        <v>15823</v>
      </c>
      <c r="B188" s="98" t="s">
        <v>532</v>
      </c>
      <c r="C188" s="100">
        <v>48.3</v>
      </c>
      <c r="D188" s="9" t="s">
        <v>25</v>
      </c>
      <c r="E188" s="11">
        <v>46105</v>
      </c>
      <c r="F188" s="12"/>
    </row>
    <row r="189" spans="1:6" x14ac:dyDescent="0.3">
      <c r="A189" s="103">
        <v>15824</v>
      </c>
      <c r="B189" s="98" t="s">
        <v>533</v>
      </c>
      <c r="C189" s="100">
        <v>48.3</v>
      </c>
      <c r="D189" s="9" t="s">
        <v>25</v>
      </c>
      <c r="E189" s="11">
        <v>46105</v>
      </c>
      <c r="F189" s="12"/>
    </row>
    <row r="190" spans="1:6" x14ac:dyDescent="0.3">
      <c r="A190" s="103">
        <v>15827</v>
      </c>
      <c r="B190" s="98" t="s">
        <v>534</v>
      </c>
      <c r="C190" s="100">
        <v>23.28</v>
      </c>
      <c r="D190" s="9" t="s">
        <v>25</v>
      </c>
      <c r="E190" s="11">
        <v>46105</v>
      </c>
      <c r="F190" s="12"/>
    </row>
    <row r="191" spans="1:6" x14ac:dyDescent="0.3">
      <c r="A191" s="103">
        <v>15828</v>
      </c>
      <c r="B191" s="98" t="s">
        <v>535</v>
      </c>
      <c r="C191" s="100">
        <v>163.05000000000001</v>
      </c>
      <c r="D191" s="9" t="s">
        <v>25</v>
      </c>
      <c r="E191" s="11">
        <v>46105</v>
      </c>
      <c r="F191" s="12"/>
    </row>
    <row r="192" spans="1:6" x14ac:dyDescent="0.3">
      <c r="A192" s="92">
        <v>15829</v>
      </c>
      <c r="B192" s="92" t="s">
        <v>527</v>
      </c>
      <c r="C192" s="94">
        <v>11.64</v>
      </c>
      <c r="D192" s="9" t="s">
        <v>25</v>
      </c>
      <c r="E192" s="11">
        <v>46105</v>
      </c>
      <c r="F192" s="12"/>
    </row>
    <row r="193" spans="1:6" x14ac:dyDescent="0.3">
      <c r="A193" s="92">
        <v>15830</v>
      </c>
      <c r="B193" s="92" t="s">
        <v>536</v>
      </c>
      <c r="C193" s="94">
        <v>4473.58</v>
      </c>
      <c r="D193" s="9" t="s">
        <v>25</v>
      </c>
      <c r="E193" s="11">
        <v>46105</v>
      </c>
      <c r="F193" s="12"/>
    </row>
    <row r="194" spans="1:6" x14ac:dyDescent="0.3">
      <c r="A194" s="92">
        <v>15835</v>
      </c>
      <c r="B194" s="92" t="s">
        <v>422</v>
      </c>
      <c r="C194" s="94">
        <v>63.58</v>
      </c>
      <c r="D194" s="9" t="s">
        <v>25</v>
      </c>
      <c r="E194" s="11">
        <v>46105</v>
      </c>
      <c r="F194" s="12"/>
    </row>
    <row r="195" spans="1:6" x14ac:dyDescent="0.3">
      <c r="A195" s="92">
        <v>15836</v>
      </c>
      <c r="B195" s="92" t="s">
        <v>525</v>
      </c>
      <c r="C195" s="94">
        <v>690</v>
      </c>
      <c r="D195" s="9" t="s">
        <v>13</v>
      </c>
      <c r="E195" s="11">
        <v>46105</v>
      </c>
      <c r="F195" s="12"/>
    </row>
    <row r="196" spans="1:6" x14ac:dyDescent="0.3">
      <c r="A196" s="92">
        <v>15837</v>
      </c>
      <c r="B196" s="92" t="s">
        <v>526</v>
      </c>
      <c r="C196" s="94">
        <v>265</v>
      </c>
      <c r="D196" s="9" t="s">
        <v>13</v>
      </c>
      <c r="E196" s="11">
        <v>46105</v>
      </c>
      <c r="F196" s="12"/>
    </row>
    <row r="197" spans="1:6" x14ac:dyDescent="0.3">
      <c r="A197" s="92">
        <v>15840</v>
      </c>
      <c r="B197" s="92" t="s">
        <v>537</v>
      </c>
      <c r="C197" s="94">
        <v>3180</v>
      </c>
      <c r="D197" s="9" t="s">
        <v>25</v>
      </c>
      <c r="E197" s="11">
        <v>46105</v>
      </c>
      <c r="F197" s="12"/>
    </row>
    <row r="198" spans="1:6" x14ac:dyDescent="0.3">
      <c r="A198" s="92">
        <v>15847</v>
      </c>
      <c r="B198" s="92" t="s">
        <v>538</v>
      </c>
      <c r="C198" s="94">
        <v>620.35</v>
      </c>
      <c r="D198" s="9" t="s">
        <v>25</v>
      </c>
      <c r="E198" s="11">
        <v>46105</v>
      </c>
      <c r="F198" s="12" t="s">
        <v>539</v>
      </c>
    </row>
    <row r="199" spans="1:6" x14ac:dyDescent="0.3">
      <c r="A199" s="103">
        <v>15861</v>
      </c>
      <c r="B199" s="98" t="s">
        <v>540</v>
      </c>
      <c r="C199" s="100">
        <v>4842</v>
      </c>
      <c r="D199" s="15" t="s">
        <v>16</v>
      </c>
      <c r="E199" s="11">
        <v>46105</v>
      </c>
      <c r="F199" s="12"/>
    </row>
    <row r="200" spans="1:6" x14ac:dyDescent="0.3">
      <c r="A200" s="103">
        <v>15866</v>
      </c>
      <c r="B200" s="98" t="s">
        <v>541</v>
      </c>
      <c r="C200" s="100">
        <v>19590</v>
      </c>
      <c r="D200" s="15" t="s">
        <v>16</v>
      </c>
      <c r="E200" s="11">
        <v>46105</v>
      </c>
      <c r="F200" s="12"/>
    </row>
    <row r="201" spans="1:6" x14ac:dyDescent="0.3">
      <c r="A201" s="103">
        <v>15869</v>
      </c>
      <c r="B201" s="98" t="s">
        <v>144</v>
      </c>
      <c r="C201" s="100">
        <v>436</v>
      </c>
      <c r="D201" s="9" t="s">
        <v>10</v>
      </c>
      <c r="E201" s="11">
        <v>46105</v>
      </c>
      <c r="F201" s="12"/>
    </row>
    <row r="202" spans="1:6" x14ac:dyDescent="0.3">
      <c r="A202" s="103">
        <v>15871</v>
      </c>
      <c r="B202" s="98" t="s">
        <v>542</v>
      </c>
      <c r="C202" s="100">
        <v>3160</v>
      </c>
      <c r="D202" s="9" t="s">
        <v>10</v>
      </c>
      <c r="E202" s="11">
        <v>46105</v>
      </c>
      <c r="F202" s="12"/>
    </row>
    <row r="203" spans="1:6" x14ac:dyDescent="0.3">
      <c r="A203" s="103">
        <v>15873</v>
      </c>
      <c r="B203" s="98" t="s">
        <v>543</v>
      </c>
      <c r="C203" s="100">
        <v>15210</v>
      </c>
      <c r="D203" s="15" t="s">
        <v>16</v>
      </c>
      <c r="E203" s="11">
        <v>46105</v>
      </c>
      <c r="F203" s="12" t="s">
        <v>398</v>
      </c>
    </row>
    <row r="204" spans="1:6" x14ac:dyDescent="0.3">
      <c r="A204" s="103">
        <v>15876</v>
      </c>
      <c r="B204" s="98" t="s">
        <v>544</v>
      </c>
      <c r="C204" s="100">
        <v>3992</v>
      </c>
      <c r="D204" s="15" t="s">
        <v>16</v>
      </c>
      <c r="E204" s="11">
        <v>46105</v>
      </c>
      <c r="F204" s="12"/>
    </row>
    <row r="205" spans="1:6" x14ac:dyDescent="0.3">
      <c r="A205" s="103">
        <v>15881</v>
      </c>
      <c r="B205" s="98" t="s">
        <v>545</v>
      </c>
      <c r="C205" s="100">
        <v>11610</v>
      </c>
      <c r="D205" s="15" t="s">
        <v>16</v>
      </c>
      <c r="E205" s="11">
        <v>46105</v>
      </c>
      <c r="F205" s="12" t="s">
        <v>398</v>
      </c>
    </row>
    <row r="206" spans="1:6" x14ac:dyDescent="0.3">
      <c r="A206" s="103">
        <v>15850</v>
      </c>
      <c r="B206" s="98" t="s">
        <v>548</v>
      </c>
      <c r="C206" s="100">
        <v>4399</v>
      </c>
      <c r="D206" s="15" t="s">
        <v>25</v>
      </c>
      <c r="E206" s="17">
        <v>46106</v>
      </c>
      <c r="F206" s="12"/>
    </row>
    <row r="207" spans="1:6" x14ac:dyDescent="0.3">
      <c r="A207" s="103">
        <v>15872</v>
      </c>
      <c r="B207" s="98" t="s">
        <v>549</v>
      </c>
      <c r="C207" s="100">
        <v>1524.5</v>
      </c>
      <c r="D207" s="15" t="s">
        <v>25</v>
      </c>
      <c r="E207" s="17">
        <v>46106</v>
      </c>
      <c r="F207" s="12"/>
    </row>
    <row r="208" spans="1:6" x14ac:dyDescent="0.3">
      <c r="A208" s="92">
        <v>15879</v>
      </c>
      <c r="B208" s="92" t="s">
        <v>550</v>
      </c>
      <c r="C208" s="94">
        <v>11.64</v>
      </c>
      <c r="D208" s="9" t="s">
        <v>25</v>
      </c>
      <c r="E208" s="17">
        <v>46106</v>
      </c>
      <c r="F208" s="12"/>
    </row>
    <row r="209" spans="1:6" x14ac:dyDescent="0.3">
      <c r="A209" s="92">
        <v>15882</v>
      </c>
      <c r="B209" s="92" t="s">
        <v>528</v>
      </c>
      <c r="C209" s="94">
        <v>1453.43</v>
      </c>
      <c r="D209" s="9" t="s">
        <v>25</v>
      </c>
      <c r="E209" s="17">
        <v>46106</v>
      </c>
      <c r="F209" s="12"/>
    </row>
    <row r="210" spans="1:6" x14ac:dyDescent="0.3">
      <c r="A210" s="92">
        <v>15883</v>
      </c>
      <c r="B210" s="92" t="s">
        <v>553</v>
      </c>
      <c r="C210" s="94">
        <v>1012</v>
      </c>
      <c r="D210" s="9" t="s">
        <v>13</v>
      </c>
      <c r="E210" s="17">
        <v>46106</v>
      </c>
      <c r="F210" s="12"/>
    </row>
    <row r="211" spans="1:6" x14ac:dyDescent="0.3">
      <c r="A211" s="92">
        <v>15887</v>
      </c>
      <c r="B211" s="92" t="s">
        <v>513</v>
      </c>
      <c r="C211" s="94">
        <v>940.5</v>
      </c>
      <c r="D211" s="9" t="s">
        <v>25</v>
      </c>
      <c r="E211" s="17">
        <v>46106</v>
      </c>
      <c r="F211" s="12"/>
    </row>
    <row r="212" spans="1:6" x14ac:dyDescent="0.3">
      <c r="A212" s="92">
        <v>15888</v>
      </c>
      <c r="B212" s="92" t="s">
        <v>551</v>
      </c>
      <c r="C212" s="94">
        <v>190.74</v>
      </c>
      <c r="D212" s="9" t="s">
        <v>25</v>
      </c>
      <c r="E212" s="17">
        <v>46106</v>
      </c>
      <c r="F212" s="12"/>
    </row>
    <row r="213" spans="1:6" x14ac:dyDescent="0.3">
      <c r="A213" s="92">
        <v>15890</v>
      </c>
      <c r="B213" s="92" t="s">
        <v>546</v>
      </c>
      <c r="C213" s="94">
        <v>14391</v>
      </c>
      <c r="D213" s="9" t="s">
        <v>13</v>
      </c>
      <c r="E213" s="17">
        <v>46106</v>
      </c>
      <c r="F213" s="12"/>
    </row>
    <row r="214" spans="1:6" x14ac:dyDescent="0.3">
      <c r="A214" s="103">
        <v>15891</v>
      </c>
      <c r="B214" s="98" t="s">
        <v>547</v>
      </c>
      <c r="C214" s="100">
        <v>11610</v>
      </c>
      <c r="D214" s="15" t="s">
        <v>16</v>
      </c>
      <c r="E214" s="17">
        <v>46106</v>
      </c>
      <c r="F214" s="12"/>
    </row>
    <row r="215" spans="1:6" x14ac:dyDescent="0.3">
      <c r="A215" s="103">
        <v>15892</v>
      </c>
      <c r="B215" s="98" t="s">
        <v>552</v>
      </c>
      <c r="C215" s="100">
        <v>6031</v>
      </c>
      <c r="D215" s="15" t="s">
        <v>16</v>
      </c>
      <c r="E215" s="17">
        <v>46106</v>
      </c>
      <c r="F215" s="12"/>
    </row>
    <row r="216" spans="1:6" x14ac:dyDescent="0.3">
      <c r="A216" s="103">
        <v>15903</v>
      </c>
      <c r="B216" s="98" t="s">
        <v>554</v>
      </c>
      <c r="C216" s="100">
        <v>5000</v>
      </c>
      <c r="D216" s="9" t="s">
        <v>10</v>
      </c>
      <c r="E216" s="11">
        <v>46106</v>
      </c>
      <c r="F216" s="12"/>
    </row>
    <row r="217" spans="1:6" x14ac:dyDescent="0.3">
      <c r="A217" s="103">
        <v>15916</v>
      </c>
      <c r="B217" s="98" t="s">
        <v>555</v>
      </c>
      <c r="C217" s="100">
        <v>13901</v>
      </c>
      <c r="D217" s="15" t="s">
        <v>16</v>
      </c>
      <c r="E217" s="17">
        <v>46106</v>
      </c>
      <c r="F217" s="12"/>
    </row>
    <row r="218" spans="1:6" x14ac:dyDescent="0.3">
      <c r="A218" s="92">
        <v>15428</v>
      </c>
      <c r="B218" s="92" t="s">
        <v>390</v>
      </c>
      <c r="C218" s="94">
        <v>-5325.3</v>
      </c>
      <c r="D218" s="9" t="s">
        <v>25</v>
      </c>
      <c r="E218" s="17">
        <v>46107</v>
      </c>
      <c r="F218" s="12" t="s">
        <v>556</v>
      </c>
    </row>
    <row r="219" spans="1:6" x14ac:dyDescent="0.3">
      <c r="A219" s="92">
        <v>15429</v>
      </c>
      <c r="B219" s="92" t="s">
        <v>391</v>
      </c>
      <c r="C219" s="94">
        <v>-572.29999999999995</v>
      </c>
      <c r="D219" s="9" t="s">
        <v>25</v>
      </c>
      <c r="E219" s="17">
        <v>46107</v>
      </c>
      <c r="F219" s="12" t="s">
        <v>556</v>
      </c>
    </row>
    <row r="220" spans="1:6" x14ac:dyDescent="0.3">
      <c r="A220" s="103">
        <v>15875</v>
      </c>
      <c r="B220" s="98" t="s">
        <v>558</v>
      </c>
      <c r="C220" s="100">
        <v>198.55</v>
      </c>
      <c r="D220" s="15" t="s">
        <v>25</v>
      </c>
      <c r="E220" s="17">
        <v>46107</v>
      </c>
      <c r="F220" s="12"/>
    </row>
    <row r="221" spans="1:6" x14ac:dyDescent="0.3">
      <c r="A221" s="103">
        <v>15877</v>
      </c>
      <c r="B221" s="98" t="s">
        <v>559</v>
      </c>
      <c r="C221" s="100">
        <v>45.15</v>
      </c>
      <c r="D221" s="9" t="s">
        <v>25</v>
      </c>
      <c r="E221" s="17">
        <v>46107</v>
      </c>
      <c r="F221" s="12"/>
    </row>
    <row r="222" spans="1:6" x14ac:dyDescent="0.3">
      <c r="A222" s="103">
        <v>15922</v>
      </c>
      <c r="B222" s="98" t="s">
        <v>560</v>
      </c>
      <c r="C222" s="100">
        <v>90.3</v>
      </c>
      <c r="D222" s="9" t="s">
        <v>25</v>
      </c>
      <c r="E222" s="17">
        <v>46107</v>
      </c>
      <c r="F222" s="12"/>
    </row>
    <row r="223" spans="1:6" x14ac:dyDescent="0.3">
      <c r="A223" s="103">
        <v>15929</v>
      </c>
      <c r="B223" s="98" t="s">
        <v>557</v>
      </c>
      <c r="C223" s="100">
        <v>13901</v>
      </c>
      <c r="D223" s="9" t="s">
        <v>16</v>
      </c>
      <c r="E223" s="17">
        <v>46107</v>
      </c>
      <c r="F223" s="12"/>
    </row>
    <row r="224" spans="1:6" x14ac:dyDescent="0.3">
      <c r="A224" s="103">
        <v>15933</v>
      </c>
      <c r="B224" s="98" t="s">
        <v>561</v>
      </c>
      <c r="C224" s="100">
        <v>7700</v>
      </c>
      <c r="D224" s="9" t="s">
        <v>10</v>
      </c>
      <c r="E224" s="11">
        <v>46107</v>
      </c>
      <c r="F224" s="12"/>
    </row>
    <row r="225" spans="1:6" x14ac:dyDescent="0.3">
      <c r="A225" s="103">
        <v>15934</v>
      </c>
      <c r="B225" s="98" t="s">
        <v>562</v>
      </c>
      <c r="C225" s="100">
        <v>6600</v>
      </c>
      <c r="D225" s="15" t="s">
        <v>16</v>
      </c>
      <c r="E225" s="17">
        <v>46107</v>
      </c>
      <c r="F225" s="12"/>
    </row>
    <row r="226" spans="1:6" x14ac:dyDescent="0.3">
      <c r="A226" s="103">
        <v>15935</v>
      </c>
      <c r="B226" s="98" t="s">
        <v>563</v>
      </c>
      <c r="C226" s="100">
        <v>17910</v>
      </c>
      <c r="D226" s="15" t="s">
        <v>13</v>
      </c>
      <c r="E226" s="17">
        <v>46107</v>
      </c>
      <c r="F226" s="12" t="s">
        <v>564</v>
      </c>
    </row>
    <row r="227" spans="1:6" x14ac:dyDescent="0.3">
      <c r="A227" s="103">
        <v>15923</v>
      </c>
      <c r="B227" s="98" t="s">
        <v>565</v>
      </c>
      <c r="C227" s="100">
        <v>1431.09</v>
      </c>
      <c r="D227" s="15" t="s">
        <v>25</v>
      </c>
      <c r="E227" s="17">
        <v>46108</v>
      </c>
      <c r="F227" s="12"/>
    </row>
    <row r="228" spans="1:6" x14ac:dyDescent="0.3">
      <c r="A228" s="103">
        <v>15924</v>
      </c>
      <c r="B228" s="98" t="s">
        <v>565</v>
      </c>
      <c r="C228" s="100">
        <v>594.73</v>
      </c>
      <c r="D228" s="9" t="s">
        <v>25</v>
      </c>
      <c r="E228" s="17">
        <v>46108</v>
      </c>
      <c r="F228" s="12"/>
    </row>
    <row r="229" spans="1:6" x14ac:dyDescent="0.3">
      <c r="A229" s="103">
        <v>15962</v>
      </c>
      <c r="B229" s="98" t="s">
        <v>566</v>
      </c>
      <c r="C229" s="100">
        <v>940.5</v>
      </c>
      <c r="D229" s="9" t="s">
        <v>25</v>
      </c>
      <c r="E229" s="17">
        <v>46108</v>
      </c>
      <c r="F229" s="12"/>
    </row>
    <row r="230" spans="1:6" x14ac:dyDescent="0.3">
      <c r="A230" s="103">
        <v>15963</v>
      </c>
      <c r="B230" s="98" t="s">
        <v>387</v>
      </c>
      <c r="C230" s="100">
        <v>1377.05</v>
      </c>
      <c r="D230" s="9" t="s">
        <v>16</v>
      </c>
      <c r="E230" s="17">
        <v>46108</v>
      </c>
      <c r="F230" s="12"/>
    </row>
    <row r="231" spans="1:6" x14ac:dyDescent="0.3">
      <c r="A231" s="103">
        <v>15965</v>
      </c>
      <c r="B231" s="98" t="s">
        <v>567</v>
      </c>
      <c r="C231" s="100">
        <v>13500</v>
      </c>
      <c r="D231" s="15" t="s">
        <v>16</v>
      </c>
      <c r="E231" s="17">
        <v>46108</v>
      </c>
      <c r="F231" s="12"/>
    </row>
    <row r="232" spans="1:6" x14ac:dyDescent="0.3">
      <c r="A232" s="103">
        <v>15976</v>
      </c>
      <c r="B232" s="98" t="s">
        <v>568</v>
      </c>
      <c r="C232" s="100">
        <v>15210</v>
      </c>
      <c r="D232" s="15" t="s">
        <v>16</v>
      </c>
      <c r="E232" s="17">
        <v>46108</v>
      </c>
      <c r="F232" s="12"/>
    </row>
    <row r="233" spans="1:6" x14ac:dyDescent="0.3">
      <c r="A233" s="103">
        <v>15978</v>
      </c>
      <c r="B233" s="98" t="s">
        <v>569</v>
      </c>
      <c r="C233" s="100">
        <v>4080</v>
      </c>
      <c r="D233" s="9" t="s">
        <v>10</v>
      </c>
      <c r="E233" s="17">
        <v>46108</v>
      </c>
      <c r="F233" s="12"/>
    </row>
    <row r="234" spans="1:6" x14ac:dyDescent="0.3">
      <c r="A234" s="103">
        <v>15979</v>
      </c>
      <c r="B234" s="98" t="s">
        <v>571</v>
      </c>
      <c r="C234" s="100">
        <v>11489</v>
      </c>
      <c r="D234" s="9" t="s">
        <v>10</v>
      </c>
      <c r="E234" s="17">
        <v>46108</v>
      </c>
      <c r="F234" s="12" t="s">
        <v>570</v>
      </c>
    </row>
    <row r="235" spans="1:6" x14ac:dyDescent="0.3">
      <c r="A235" s="103">
        <v>15980</v>
      </c>
      <c r="B235" s="98" t="s">
        <v>572</v>
      </c>
      <c r="C235" s="100">
        <v>6300</v>
      </c>
      <c r="D235" s="9" t="s">
        <v>10</v>
      </c>
      <c r="E235" s="17">
        <v>46108</v>
      </c>
      <c r="F235" s="12"/>
    </row>
    <row r="236" spans="1:6" x14ac:dyDescent="0.3">
      <c r="A236" s="103">
        <v>15984</v>
      </c>
      <c r="B236" s="98" t="s">
        <v>573</v>
      </c>
      <c r="C236" s="100">
        <v>10900</v>
      </c>
      <c r="D236" s="100" t="s">
        <v>16</v>
      </c>
      <c r="E236" s="17">
        <v>46108</v>
      </c>
      <c r="F236" s="12"/>
    </row>
    <row r="237" spans="1:6" x14ac:dyDescent="0.3">
      <c r="A237" s="103">
        <v>15966</v>
      </c>
      <c r="B237" s="98" t="s">
        <v>574</v>
      </c>
      <c r="C237" s="100">
        <v>447.74</v>
      </c>
      <c r="D237" s="9" t="s">
        <v>25</v>
      </c>
      <c r="E237" s="17">
        <v>46111</v>
      </c>
      <c r="F237" s="12"/>
    </row>
    <row r="238" spans="1:6" x14ac:dyDescent="0.3">
      <c r="A238" s="103">
        <v>15967</v>
      </c>
      <c r="B238" s="98" t="s">
        <v>363</v>
      </c>
      <c r="C238" s="100">
        <v>198.55</v>
      </c>
      <c r="D238" s="9" t="s">
        <v>25</v>
      </c>
      <c r="E238" s="17">
        <v>46111</v>
      </c>
      <c r="F238" s="12"/>
    </row>
    <row r="239" spans="1:6" x14ac:dyDescent="0.3">
      <c r="A239" s="103">
        <v>15968</v>
      </c>
      <c r="B239" s="98" t="s">
        <v>512</v>
      </c>
      <c r="C239" s="100">
        <v>9758.68</v>
      </c>
      <c r="D239" s="9" t="s">
        <v>25</v>
      </c>
      <c r="E239" s="17">
        <v>46111</v>
      </c>
      <c r="F239" s="12"/>
    </row>
    <row r="240" spans="1:6" x14ac:dyDescent="0.3">
      <c r="A240" s="103">
        <v>15972</v>
      </c>
      <c r="B240" s="98" t="s">
        <v>483</v>
      </c>
      <c r="C240" s="100">
        <v>317.89999999999998</v>
      </c>
      <c r="D240" s="9" t="s">
        <v>25</v>
      </c>
      <c r="E240" s="17">
        <v>46111</v>
      </c>
      <c r="F240" s="12"/>
    </row>
    <row r="241" spans="1:6" x14ac:dyDescent="0.3">
      <c r="A241" s="103">
        <v>15985</v>
      </c>
      <c r="B241" s="98" t="s">
        <v>575</v>
      </c>
      <c r="C241" s="100">
        <v>9758.68</v>
      </c>
      <c r="D241" s="9" t="s">
        <v>25</v>
      </c>
      <c r="E241" s="17">
        <v>46111</v>
      </c>
      <c r="F241" s="12"/>
    </row>
    <row r="242" spans="1:6" x14ac:dyDescent="0.3">
      <c r="A242" s="103">
        <v>15986</v>
      </c>
      <c r="B242" s="98" t="s">
        <v>576</v>
      </c>
      <c r="C242" s="100">
        <v>258</v>
      </c>
      <c r="D242" s="9" t="s">
        <v>25</v>
      </c>
      <c r="E242" s="17">
        <v>46111</v>
      </c>
      <c r="F242" s="12"/>
    </row>
    <row r="243" spans="1:6" x14ac:dyDescent="0.3">
      <c r="A243" s="103">
        <v>15987</v>
      </c>
      <c r="B243" s="98" t="s">
        <v>577</v>
      </c>
      <c r="C243" s="100">
        <v>63.58</v>
      </c>
      <c r="D243" s="9" t="s">
        <v>25</v>
      </c>
      <c r="E243" s="17">
        <v>46111</v>
      </c>
      <c r="F243" s="12"/>
    </row>
    <row r="244" spans="1:6" x14ac:dyDescent="0.3">
      <c r="A244" s="103">
        <v>15992</v>
      </c>
      <c r="B244" s="98" t="s">
        <v>578</v>
      </c>
      <c r="C244" s="100">
        <v>11610</v>
      </c>
      <c r="D244" s="15" t="s">
        <v>13</v>
      </c>
      <c r="E244" s="17">
        <v>46111</v>
      </c>
      <c r="F244" s="12"/>
    </row>
    <row r="245" spans="1:6" x14ac:dyDescent="0.3">
      <c r="A245" s="103">
        <v>15993</v>
      </c>
      <c r="B245" s="98" t="s">
        <v>579</v>
      </c>
      <c r="C245" s="100">
        <v>14075.1</v>
      </c>
      <c r="D245" s="9" t="s">
        <v>10</v>
      </c>
      <c r="E245" s="17">
        <v>46111</v>
      </c>
      <c r="F245" s="12"/>
    </row>
    <row r="246" spans="1:6" x14ac:dyDescent="0.3">
      <c r="A246" s="103">
        <v>15999</v>
      </c>
      <c r="B246" s="98" t="s">
        <v>580</v>
      </c>
      <c r="C246" s="100">
        <v>6210</v>
      </c>
      <c r="D246" s="15" t="s">
        <v>13</v>
      </c>
      <c r="E246" s="17">
        <v>46111</v>
      </c>
      <c r="F246" s="109" t="s">
        <v>581</v>
      </c>
    </row>
    <row r="247" spans="1:6" x14ac:dyDescent="0.3">
      <c r="A247" s="103">
        <v>16002</v>
      </c>
      <c r="B247" s="98" t="s">
        <v>582</v>
      </c>
      <c r="C247" s="100">
        <v>26910</v>
      </c>
      <c r="D247" s="9" t="s">
        <v>10</v>
      </c>
      <c r="E247" s="17">
        <v>46111</v>
      </c>
      <c r="F247" s="12"/>
    </row>
    <row r="248" spans="1:6" x14ac:dyDescent="0.3">
      <c r="A248" s="103">
        <v>16005</v>
      </c>
      <c r="B248" s="98" t="s">
        <v>583</v>
      </c>
      <c r="C248" s="100">
        <v>15237</v>
      </c>
      <c r="D248" s="15" t="s">
        <v>16</v>
      </c>
      <c r="E248" s="17">
        <v>46111</v>
      </c>
      <c r="F248" s="12"/>
    </row>
    <row r="249" spans="1:6" x14ac:dyDescent="0.3">
      <c r="A249" s="103">
        <v>16006</v>
      </c>
      <c r="B249" s="98" t="s">
        <v>584</v>
      </c>
      <c r="C249" s="100">
        <v>12576</v>
      </c>
      <c r="D249" s="15" t="s">
        <v>16</v>
      </c>
      <c r="E249" s="17">
        <v>46111</v>
      </c>
      <c r="F249" s="12"/>
    </row>
    <row r="250" spans="1:6" x14ac:dyDescent="0.3">
      <c r="A250" s="103">
        <v>15994</v>
      </c>
      <c r="B250" s="98" t="s">
        <v>588</v>
      </c>
      <c r="C250" s="100">
        <v>63.58</v>
      </c>
      <c r="D250" s="15" t="s">
        <v>25</v>
      </c>
      <c r="E250" s="17">
        <v>46112</v>
      </c>
      <c r="F250" s="12"/>
    </row>
    <row r="251" spans="1:6" x14ac:dyDescent="0.3">
      <c r="A251" s="103">
        <v>15995</v>
      </c>
      <c r="B251" s="98" t="s">
        <v>589</v>
      </c>
      <c r="C251" s="100">
        <v>147</v>
      </c>
      <c r="D251" s="15" t="s">
        <v>25</v>
      </c>
      <c r="E251" s="17">
        <v>46112</v>
      </c>
      <c r="F251" s="12"/>
    </row>
    <row r="252" spans="1:6" x14ac:dyDescent="0.3">
      <c r="A252" s="103">
        <v>15996</v>
      </c>
      <c r="B252" s="98" t="s">
        <v>590</v>
      </c>
      <c r="C252" s="100">
        <v>345</v>
      </c>
      <c r="D252" s="15" t="s">
        <v>25</v>
      </c>
      <c r="E252" s="17">
        <v>46112</v>
      </c>
      <c r="F252" s="12"/>
    </row>
    <row r="253" spans="1:6" x14ac:dyDescent="0.3">
      <c r="A253" s="103">
        <v>15997</v>
      </c>
      <c r="B253" s="98" t="s">
        <v>591</v>
      </c>
      <c r="C253" s="100">
        <v>137.75</v>
      </c>
      <c r="D253" s="9" t="s">
        <v>25</v>
      </c>
      <c r="E253" s="17">
        <v>46112</v>
      </c>
      <c r="F253" s="12"/>
    </row>
    <row r="254" spans="1:6" x14ac:dyDescent="0.3">
      <c r="A254" s="103">
        <v>15998</v>
      </c>
      <c r="B254" s="98" t="s">
        <v>592</v>
      </c>
      <c r="C254" s="100">
        <v>63.58</v>
      </c>
      <c r="D254" s="9" t="s">
        <v>25</v>
      </c>
      <c r="E254" s="17">
        <v>46112</v>
      </c>
      <c r="F254" s="12"/>
    </row>
    <row r="255" spans="1:6" x14ac:dyDescent="0.3">
      <c r="A255" s="103">
        <v>16009</v>
      </c>
      <c r="B255" s="98" t="s">
        <v>593</v>
      </c>
      <c r="C255" s="100">
        <v>1676.29</v>
      </c>
      <c r="D255" s="9" t="s">
        <v>25</v>
      </c>
      <c r="E255" s="17">
        <v>46112</v>
      </c>
      <c r="F255" s="12"/>
    </row>
    <row r="256" spans="1:6" x14ac:dyDescent="0.3">
      <c r="A256" s="103">
        <v>16014</v>
      </c>
      <c r="B256" s="98" t="s">
        <v>585</v>
      </c>
      <c r="C256" s="100">
        <v>50040</v>
      </c>
      <c r="D256" s="9" t="s">
        <v>16</v>
      </c>
      <c r="E256" s="17">
        <v>46112</v>
      </c>
      <c r="F256" s="12"/>
    </row>
    <row r="257" spans="1:6" x14ac:dyDescent="0.3">
      <c r="A257" s="103">
        <v>16016</v>
      </c>
      <c r="B257" s="98" t="s">
        <v>586</v>
      </c>
      <c r="C257" s="100">
        <v>5375.55</v>
      </c>
      <c r="D257" s="9" t="s">
        <v>16</v>
      </c>
      <c r="E257" s="17">
        <v>46112</v>
      </c>
      <c r="F257" s="12"/>
    </row>
    <row r="258" spans="1:6" x14ac:dyDescent="0.3">
      <c r="A258" s="103">
        <v>16017</v>
      </c>
      <c r="B258" s="98" t="s">
        <v>594</v>
      </c>
      <c r="C258" s="100">
        <v>639.17999999999995</v>
      </c>
      <c r="D258" s="9" t="s">
        <v>25</v>
      </c>
      <c r="E258" s="17">
        <v>46112</v>
      </c>
      <c r="F258" s="12"/>
    </row>
    <row r="259" spans="1:6" x14ac:dyDescent="0.3">
      <c r="A259" s="103">
        <v>16019</v>
      </c>
      <c r="B259" s="98" t="s">
        <v>257</v>
      </c>
      <c r="C259" s="100">
        <v>1255.49</v>
      </c>
      <c r="D259" s="9" t="s">
        <v>16</v>
      </c>
      <c r="E259" s="17">
        <v>46112</v>
      </c>
      <c r="F259" s="12"/>
    </row>
    <row r="260" spans="1:6" x14ac:dyDescent="0.3">
      <c r="A260" s="103">
        <v>16021</v>
      </c>
      <c r="B260" s="98" t="s">
        <v>595</v>
      </c>
      <c r="C260" s="100">
        <v>1029.8</v>
      </c>
      <c r="D260" s="15" t="s">
        <v>16</v>
      </c>
      <c r="E260" s="17">
        <v>46112</v>
      </c>
      <c r="F260" s="12"/>
    </row>
    <row r="261" spans="1:6" x14ac:dyDescent="0.3">
      <c r="A261" s="103">
        <v>16022</v>
      </c>
      <c r="B261" s="98" t="s">
        <v>596</v>
      </c>
      <c r="C261" s="100">
        <v>11610</v>
      </c>
      <c r="D261" s="15" t="s">
        <v>16</v>
      </c>
      <c r="E261" s="17">
        <v>46112</v>
      </c>
      <c r="F261" s="12" t="s">
        <v>597</v>
      </c>
    </row>
    <row r="262" spans="1:6" x14ac:dyDescent="0.3">
      <c r="A262" s="103">
        <v>16024</v>
      </c>
      <c r="B262" s="98" t="s">
        <v>146</v>
      </c>
      <c r="C262" s="100">
        <v>6100</v>
      </c>
      <c r="D262" s="15" t="s">
        <v>10</v>
      </c>
      <c r="E262" s="17">
        <v>46112</v>
      </c>
      <c r="F262" s="12"/>
    </row>
    <row r="263" spans="1:6" x14ac:dyDescent="0.3">
      <c r="A263" s="103">
        <v>16026</v>
      </c>
      <c r="B263" s="98" t="s">
        <v>598</v>
      </c>
      <c r="C263" s="100">
        <v>5382</v>
      </c>
      <c r="D263" s="15" t="s">
        <v>10</v>
      </c>
      <c r="E263" s="17">
        <v>46112</v>
      </c>
      <c r="F263" s="12" t="s">
        <v>599</v>
      </c>
    </row>
    <row r="264" spans="1:6" x14ac:dyDescent="0.3">
      <c r="A264" s="103">
        <v>16036</v>
      </c>
      <c r="B264" s="98" t="s">
        <v>601</v>
      </c>
      <c r="C264" s="100">
        <v>16110</v>
      </c>
      <c r="D264" s="15" t="s">
        <v>10</v>
      </c>
      <c r="E264" s="17">
        <v>46112</v>
      </c>
      <c r="F264" s="12"/>
    </row>
    <row r="265" spans="1:6" x14ac:dyDescent="0.3">
      <c r="A265" s="103">
        <v>16029</v>
      </c>
      <c r="B265" s="98" t="s">
        <v>600</v>
      </c>
      <c r="C265" s="100">
        <v>4720</v>
      </c>
      <c r="D265" s="15" t="s">
        <v>13</v>
      </c>
      <c r="E265" s="17">
        <v>46112</v>
      </c>
      <c r="F265" s="12"/>
    </row>
    <row r="266" spans="1:6" x14ac:dyDescent="0.3">
      <c r="A266" s="92">
        <v>16034</v>
      </c>
      <c r="B266" s="92" t="s">
        <v>602</v>
      </c>
      <c r="C266" s="94">
        <v>940.5</v>
      </c>
      <c r="D266" s="9" t="s">
        <v>25</v>
      </c>
      <c r="E266" s="11">
        <v>46112</v>
      </c>
      <c r="F266" s="12"/>
    </row>
    <row r="267" spans="1:6" x14ac:dyDescent="0.3">
      <c r="A267" s="92">
        <v>16041</v>
      </c>
      <c r="B267" s="92" t="s">
        <v>603</v>
      </c>
      <c r="C267" s="94">
        <v>16069</v>
      </c>
      <c r="D267" s="15" t="s">
        <v>13</v>
      </c>
      <c r="E267" s="11">
        <v>46112</v>
      </c>
      <c r="F267" s="109" t="s">
        <v>604</v>
      </c>
    </row>
    <row r="268" spans="1:6" x14ac:dyDescent="0.3">
      <c r="A268" s="103">
        <v>16052</v>
      </c>
      <c r="B268" s="98" t="s">
        <v>605</v>
      </c>
      <c r="C268" s="100">
        <v>26010</v>
      </c>
      <c r="D268" s="15" t="s">
        <v>13</v>
      </c>
      <c r="E268" s="11">
        <v>46112</v>
      </c>
      <c r="F268" s="12"/>
    </row>
    <row r="269" spans="1:6" x14ac:dyDescent="0.3">
      <c r="A269" s="103">
        <v>16053</v>
      </c>
      <c r="B269" s="98" t="s">
        <v>606</v>
      </c>
      <c r="C269" s="100">
        <v>891</v>
      </c>
      <c r="D269" s="15" t="s">
        <v>13</v>
      </c>
      <c r="E269" s="11">
        <v>46112</v>
      </c>
      <c r="F269" s="12"/>
    </row>
    <row r="270" spans="1:6" x14ac:dyDescent="0.3">
      <c r="A270" s="103">
        <v>16056</v>
      </c>
      <c r="B270" s="98" t="s">
        <v>608</v>
      </c>
      <c r="C270" s="100">
        <v>31320</v>
      </c>
      <c r="D270" s="15" t="s">
        <v>16</v>
      </c>
      <c r="E270" s="11">
        <v>46112</v>
      </c>
      <c r="F270" s="12"/>
    </row>
    <row r="271" spans="1:6" x14ac:dyDescent="0.3">
      <c r="A271" s="103"/>
      <c r="B271" s="98"/>
      <c r="C271" s="100"/>
      <c r="D271" s="15"/>
      <c r="E271" s="17"/>
      <c r="F271" s="12"/>
    </row>
    <row r="272" spans="1:6" x14ac:dyDescent="0.3">
      <c r="A272" s="103"/>
      <c r="B272" s="98"/>
      <c r="C272" s="100"/>
      <c r="D272" s="15"/>
      <c r="E272" s="17"/>
      <c r="F272" s="12"/>
    </row>
    <row r="273" spans="1:6" ht="15" thickBot="1" x14ac:dyDescent="0.35">
      <c r="A273" s="103"/>
      <c r="B273" s="98"/>
      <c r="C273" s="100"/>
      <c r="D273" s="15"/>
      <c r="E273" s="17"/>
      <c r="F273" s="12"/>
    </row>
    <row r="274" spans="1:6" ht="15" thickBot="1" x14ac:dyDescent="0.35">
      <c r="A274" s="138" t="s">
        <v>6</v>
      </c>
      <c r="B274" s="139"/>
      <c r="C274" s="93">
        <f>SUM(C2:C273)</f>
        <v>2046383.6100000008</v>
      </c>
      <c r="D274" s="19"/>
      <c r="E274" s="20"/>
      <c r="F274" s="3"/>
    </row>
    <row r="275" spans="1:6" ht="15" thickBot="1" x14ac:dyDescent="0.35">
      <c r="A275" s="138" t="s">
        <v>8</v>
      </c>
      <c r="B275" s="139"/>
      <c r="C275" s="93">
        <v>1758000</v>
      </c>
      <c r="D275" s="38">
        <v>1760000</v>
      </c>
      <c r="E275" s="18"/>
      <c r="F275" s="3"/>
    </row>
    <row r="276" spans="1:6" ht="15" thickBot="1" x14ac:dyDescent="0.35">
      <c r="A276" s="138" t="s">
        <v>7</v>
      </c>
      <c r="B276" s="139"/>
      <c r="C276" s="93">
        <f>C275-C274</f>
        <v>-288383.6100000008</v>
      </c>
      <c r="D276" s="38">
        <f>D275-C274</f>
        <v>-286383.6100000008</v>
      </c>
      <c r="E276" s="18"/>
      <c r="F276" s="3"/>
    </row>
  </sheetData>
  <autoFilter ref="A1:F243" xr:uid="{AFF50047-F45E-4826-B627-9667DEC3EC94}">
    <sortState xmlns:xlrd2="http://schemas.microsoft.com/office/spreadsheetml/2017/richdata2" ref="A2:F263">
      <sortCondition ref="E1:E243"/>
    </sortState>
  </autoFilter>
  <mergeCells count="3">
    <mergeCell ref="A274:B274"/>
    <mergeCell ref="A275:B275"/>
    <mergeCell ref="A276:B276"/>
  </mergeCells>
  <conditionalFormatting sqref="I9:I30">
    <cfRule type="cellIs" dxfId="4" priority="1" operator="equal">
      <formula>0</formula>
    </cfRule>
    <cfRule type="cellIs" dxfId="3" priority="3" operator="lessThan">
      <formula>79909.09</formula>
    </cfRule>
    <cfRule type="cellIs" dxfId="2" priority="4" operator="greaterThan">
      <formula>79909.09</formula>
    </cfRule>
  </conditionalFormatting>
  <conditionalFormatting sqref="L9">
    <cfRule type="cellIs" dxfId="1" priority="5" operator="lessThan">
      <formula>0</formula>
    </cfRule>
    <cfRule type="cellIs" dxfId="0" priority="6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9:I3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EC89-87EC-4460-B62F-935DCB608DFF}">
  <dimension ref="A1:J252"/>
  <sheetViews>
    <sheetView zoomScaleNormal="100" workbookViewId="0">
      <pane ySplit="1" topLeftCell="A129" activePane="bottomLeft" state="frozen"/>
      <selection activeCell="B1" sqref="B1"/>
      <selection pane="bottomLeft" activeCell="C153" sqref="C153"/>
    </sheetView>
  </sheetViews>
  <sheetFormatPr defaultColWidth="9" defaultRowHeight="14.4" x14ac:dyDescent="0.3"/>
  <cols>
    <col min="1" max="1" width="18" bestFit="1" customWidth="1"/>
    <col min="2" max="2" width="31.44140625" customWidth="1"/>
    <col min="3" max="3" width="15.6640625" style="21" customWidth="1"/>
    <col min="4" max="4" width="19.33203125" customWidth="1"/>
    <col min="5" max="5" width="16.109375" style="22" customWidth="1"/>
    <col min="6" max="6" width="62.109375" customWidth="1"/>
    <col min="7" max="7" width="16.6640625" customWidth="1"/>
    <col min="8" max="8" width="14.33203125" bestFit="1" customWidth="1"/>
    <col min="9" max="9" width="16.5546875" customWidth="1"/>
    <col min="10" max="10" width="15.88671875" bestFit="1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2" t="s">
        <v>5</v>
      </c>
      <c r="G1" s="46" t="s">
        <v>6</v>
      </c>
      <c r="H1" s="47"/>
      <c r="I1" s="45">
        <f>SUM(C2:C249)</f>
        <v>1311500.1800000002</v>
      </c>
      <c r="J1" s="19"/>
    </row>
    <row r="2" spans="1:10" ht="15" thickBot="1" x14ac:dyDescent="0.35">
      <c r="A2" s="35">
        <v>14729</v>
      </c>
      <c r="B2" s="4" t="s">
        <v>159</v>
      </c>
      <c r="C2" s="5">
        <v>138</v>
      </c>
      <c r="D2" s="4" t="s">
        <v>13</v>
      </c>
      <c r="E2" s="6">
        <v>46055</v>
      </c>
      <c r="F2" s="7"/>
      <c r="G2" s="43" t="s">
        <v>8</v>
      </c>
      <c r="H2" s="44"/>
      <c r="I2" s="18">
        <v>1729000</v>
      </c>
      <c r="J2" s="38">
        <v>1760000</v>
      </c>
    </row>
    <row r="3" spans="1:10" ht="15" thickBot="1" x14ac:dyDescent="0.35">
      <c r="A3" s="35">
        <v>14741</v>
      </c>
      <c r="B3" s="4" t="s">
        <v>160</v>
      </c>
      <c r="C3" s="5">
        <v>5900</v>
      </c>
      <c r="D3" s="4" t="s">
        <v>10</v>
      </c>
      <c r="E3" s="6">
        <v>46055</v>
      </c>
      <c r="F3" s="7"/>
      <c r="G3" s="40" t="s">
        <v>7</v>
      </c>
      <c r="H3" s="41"/>
      <c r="I3" s="18">
        <f>I2-I1</f>
        <v>417499.81999999983</v>
      </c>
      <c r="J3" s="38">
        <f>J2-I1</f>
        <v>448499.81999999983</v>
      </c>
    </row>
    <row r="4" spans="1:10" ht="15" thickBot="1" x14ac:dyDescent="0.35">
      <c r="A4" s="8">
        <v>14732</v>
      </c>
      <c r="B4" s="9" t="s">
        <v>161</v>
      </c>
      <c r="C4" s="10">
        <v>238</v>
      </c>
      <c r="D4" s="4" t="s">
        <v>167</v>
      </c>
      <c r="E4" s="6">
        <v>46055</v>
      </c>
      <c r="F4" s="12"/>
      <c r="G4" s="36" t="s">
        <v>14</v>
      </c>
      <c r="H4" s="37">
        <f>I3/3</f>
        <v>139166.6066666666</v>
      </c>
      <c r="I4" s="39" t="s">
        <v>285</v>
      </c>
    </row>
    <row r="5" spans="1:10" x14ac:dyDescent="0.3">
      <c r="A5" s="8">
        <v>14735</v>
      </c>
      <c r="B5" s="9" t="s">
        <v>162</v>
      </c>
      <c r="C5" s="10">
        <v>148</v>
      </c>
      <c r="D5" s="4" t="s">
        <v>167</v>
      </c>
      <c r="E5" s="6">
        <v>46055</v>
      </c>
      <c r="F5" s="12"/>
    </row>
    <row r="6" spans="1:10" x14ac:dyDescent="0.3">
      <c r="A6" s="8">
        <v>14737</v>
      </c>
      <c r="B6" s="9" t="s">
        <v>163</v>
      </c>
      <c r="C6" s="10">
        <v>69</v>
      </c>
      <c r="D6" s="9" t="s">
        <v>167</v>
      </c>
      <c r="E6" s="6">
        <v>46055</v>
      </c>
      <c r="F6" s="12"/>
      <c r="H6" s="13"/>
    </row>
    <row r="7" spans="1:10" x14ac:dyDescent="0.3">
      <c r="A7" s="8">
        <v>14738</v>
      </c>
      <c r="B7" s="9" t="s">
        <v>164</v>
      </c>
      <c r="C7" s="10">
        <v>128</v>
      </c>
      <c r="D7" s="9" t="s">
        <v>167</v>
      </c>
      <c r="E7" s="6">
        <v>46055</v>
      </c>
      <c r="F7" s="12"/>
    </row>
    <row r="8" spans="1:10" x14ac:dyDescent="0.3">
      <c r="A8" s="8">
        <v>14739</v>
      </c>
      <c r="B8" s="9" t="s">
        <v>165</v>
      </c>
      <c r="C8" s="10">
        <v>199</v>
      </c>
      <c r="D8" s="9" t="s">
        <v>167</v>
      </c>
      <c r="E8" s="6">
        <v>46055</v>
      </c>
      <c r="F8" s="12"/>
    </row>
    <row r="9" spans="1:10" x14ac:dyDescent="0.3">
      <c r="A9" s="8">
        <v>14755</v>
      </c>
      <c r="B9" s="9" t="s">
        <v>166</v>
      </c>
      <c r="C9" s="10">
        <v>301</v>
      </c>
      <c r="D9" s="9" t="s">
        <v>16</v>
      </c>
      <c r="E9" s="6">
        <v>46055</v>
      </c>
      <c r="F9" s="12"/>
    </row>
    <row r="10" spans="1:10" x14ac:dyDescent="0.3">
      <c r="A10" s="8">
        <v>14756</v>
      </c>
      <c r="B10" s="9" t="s">
        <v>168</v>
      </c>
      <c r="C10" s="10">
        <v>4890</v>
      </c>
      <c r="D10" s="4" t="s">
        <v>16</v>
      </c>
      <c r="E10" s="6">
        <v>46055</v>
      </c>
      <c r="F10" s="12"/>
    </row>
    <row r="11" spans="1:10" x14ac:dyDescent="0.3">
      <c r="A11" s="8">
        <v>14766</v>
      </c>
      <c r="B11" s="9" t="s">
        <v>169</v>
      </c>
      <c r="C11" s="10">
        <v>5900</v>
      </c>
      <c r="D11" s="4" t="s">
        <v>10</v>
      </c>
      <c r="E11" s="6">
        <v>46056</v>
      </c>
      <c r="F11" s="12"/>
    </row>
    <row r="12" spans="1:10" x14ac:dyDescent="0.3">
      <c r="A12" s="8">
        <v>14768</v>
      </c>
      <c r="B12" s="9" t="s">
        <v>170</v>
      </c>
      <c r="C12" s="10">
        <v>42780</v>
      </c>
      <c r="D12" s="4" t="s">
        <v>10</v>
      </c>
      <c r="E12" s="6">
        <v>46056</v>
      </c>
      <c r="F12" s="12"/>
    </row>
    <row r="13" spans="1:10" x14ac:dyDescent="0.3">
      <c r="A13" s="8">
        <v>14774</v>
      </c>
      <c r="B13" s="9" t="s">
        <v>171</v>
      </c>
      <c r="C13" s="10">
        <v>445</v>
      </c>
      <c r="D13" s="4" t="s">
        <v>10</v>
      </c>
      <c r="E13" s="6">
        <v>46056</v>
      </c>
      <c r="F13" s="12"/>
    </row>
    <row r="14" spans="1:10" x14ac:dyDescent="0.3">
      <c r="A14" s="8">
        <v>14759</v>
      </c>
      <c r="B14" s="9" t="s">
        <v>172</v>
      </c>
      <c r="C14" s="10">
        <v>178</v>
      </c>
      <c r="D14" s="4" t="s">
        <v>167</v>
      </c>
      <c r="E14" s="6">
        <v>46056</v>
      </c>
      <c r="F14" s="12"/>
    </row>
    <row r="15" spans="1:10" x14ac:dyDescent="0.3">
      <c r="A15" s="8">
        <v>14776</v>
      </c>
      <c r="B15" s="9" t="s">
        <v>173</v>
      </c>
      <c r="C15" s="10">
        <v>10329.5</v>
      </c>
      <c r="D15" s="9" t="s">
        <v>16</v>
      </c>
      <c r="E15" s="6">
        <v>46056</v>
      </c>
      <c r="F15" s="12" t="s">
        <v>20</v>
      </c>
    </row>
    <row r="16" spans="1:10" x14ac:dyDescent="0.3">
      <c r="A16" s="8">
        <v>14777</v>
      </c>
      <c r="B16" s="9" t="s">
        <v>174</v>
      </c>
      <c r="C16" s="10">
        <v>4990</v>
      </c>
      <c r="D16" s="4" t="s">
        <v>10</v>
      </c>
      <c r="E16" s="6">
        <v>46056</v>
      </c>
      <c r="F16" s="12"/>
    </row>
    <row r="17" spans="1:6" x14ac:dyDescent="0.3">
      <c r="A17" s="8">
        <v>14779</v>
      </c>
      <c r="B17" s="9" t="s">
        <v>175</v>
      </c>
      <c r="C17" s="10">
        <v>695.6</v>
      </c>
      <c r="D17" s="4" t="s">
        <v>16</v>
      </c>
      <c r="E17" s="6">
        <v>46056</v>
      </c>
      <c r="F17" s="12" t="s">
        <v>20</v>
      </c>
    </row>
    <row r="18" spans="1:6" x14ac:dyDescent="0.3">
      <c r="A18" s="8">
        <v>14781</v>
      </c>
      <c r="B18" s="9" t="s">
        <v>176</v>
      </c>
      <c r="C18" s="10">
        <v>276</v>
      </c>
      <c r="D18" s="4" t="s">
        <v>167</v>
      </c>
      <c r="E18" s="6">
        <v>46057</v>
      </c>
      <c r="F18" s="12"/>
    </row>
    <row r="19" spans="1:6" x14ac:dyDescent="0.3">
      <c r="A19" s="8">
        <v>14782</v>
      </c>
      <c r="B19" s="9" t="s">
        <v>177</v>
      </c>
      <c r="C19" s="10">
        <v>207</v>
      </c>
      <c r="D19" s="4" t="s">
        <v>167</v>
      </c>
      <c r="E19" s="6">
        <v>46057</v>
      </c>
      <c r="F19" s="12"/>
    </row>
    <row r="20" spans="1:6" x14ac:dyDescent="0.3">
      <c r="A20" s="8">
        <v>14784</v>
      </c>
      <c r="B20" s="9" t="s">
        <v>178</v>
      </c>
      <c r="C20" s="10">
        <v>11610</v>
      </c>
      <c r="D20" s="4" t="s">
        <v>10</v>
      </c>
      <c r="E20" s="6">
        <v>46057</v>
      </c>
      <c r="F20" s="12"/>
    </row>
    <row r="21" spans="1:6" x14ac:dyDescent="0.3">
      <c r="A21" s="8">
        <v>14787</v>
      </c>
      <c r="B21" s="9" t="s">
        <v>179</v>
      </c>
      <c r="C21" s="10">
        <v>5605</v>
      </c>
      <c r="D21" s="9" t="s">
        <v>16</v>
      </c>
      <c r="E21" s="6">
        <v>46057</v>
      </c>
      <c r="F21" s="12"/>
    </row>
    <row r="22" spans="1:6" x14ac:dyDescent="0.3">
      <c r="A22" s="8">
        <v>14791</v>
      </c>
      <c r="B22" s="9" t="s">
        <v>31</v>
      </c>
      <c r="C22" s="10">
        <v>675</v>
      </c>
      <c r="D22" s="4" t="s">
        <v>10</v>
      </c>
      <c r="E22" s="6">
        <v>46057</v>
      </c>
      <c r="F22" s="12"/>
    </row>
    <row r="23" spans="1:6" x14ac:dyDescent="0.3">
      <c r="A23" s="8">
        <v>14803</v>
      </c>
      <c r="B23" s="9" t="s">
        <v>180</v>
      </c>
      <c r="C23" s="10">
        <v>8999</v>
      </c>
      <c r="D23" s="4" t="s">
        <v>10</v>
      </c>
      <c r="E23" s="6">
        <v>46058</v>
      </c>
      <c r="F23" s="12" t="s">
        <v>181</v>
      </c>
    </row>
    <row r="24" spans="1:6" x14ac:dyDescent="0.3">
      <c r="A24" s="8">
        <v>14804</v>
      </c>
      <c r="B24" s="9" t="s">
        <v>182</v>
      </c>
      <c r="C24" s="10">
        <v>220.2</v>
      </c>
      <c r="D24" s="9" t="s">
        <v>16</v>
      </c>
      <c r="E24" s="6">
        <v>46058</v>
      </c>
      <c r="F24" s="12"/>
    </row>
    <row r="25" spans="1:6" x14ac:dyDescent="0.3">
      <c r="A25" s="8">
        <v>14826</v>
      </c>
      <c r="B25" s="9" t="s">
        <v>183</v>
      </c>
      <c r="C25" s="10">
        <v>14390</v>
      </c>
      <c r="D25" s="4" t="s">
        <v>10</v>
      </c>
      <c r="E25" s="6">
        <v>46058</v>
      </c>
      <c r="F25" s="12"/>
    </row>
    <row r="26" spans="1:6" x14ac:dyDescent="0.3">
      <c r="A26" s="8">
        <v>14831</v>
      </c>
      <c r="B26" s="9" t="s">
        <v>184</v>
      </c>
      <c r="C26" s="10">
        <v>4099</v>
      </c>
      <c r="D26" s="4" t="s">
        <v>13</v>
      </c>
      <c r="E26" s="6">
        <v>46058</v>
      </c>
      <c r="F26" s="12"/>
    </row>
    <row r="27" spans="1:6" x14ac:dyDescent="0.3">
      <c r="A27" s="8">
        <v>14824</v>
      </c>
      <c r="B27" s="9" t="s">
        <v>185</v>
      </c>
      <c r="C27" s="10">
        <v>9810</v>
      </c>
      <c r="D27" s="4" t="s">
        <v>13</v>
      </c>
      <c r="E27" s="6">
        <v>46058</v>
      </c>
      <c r="F27" s="12"/>
    </row>
    <row r="28" spans="1:6" x14ac:dyDescent="0.3">
      <c r="A28" s="8">
        <v>14833</v>
      </c>
      <c r="B28" s="9" t="s">
        <v>186</v>
      </c>
      <c r="C28" s="10">
        <v>10436</v>
      </c>
      <c r="D28" s="9" t="s">
        <v>16</v>
      </c>
      <c r="E28" s="6">
        <v>46058</v>
      </c>
      <c r="F28" s="12"/>
    </row>
    <row r="29" spans="1:6" x14ac:dyDescent="0.3">
      <c r="A29" s="8">
        <v>14807</v>
      </c>
      <c r="B29" s="9" t="s">
        <v>187</v>
      </c>
      <c r="C29" s="10">
        <v>4490</v>
      </c>
      <c r="D29" s="4" t="s">
        <v>167</v>
      </c>
      <c r="E29" s="6">
        <v>46058</v>
      </c>
      <c r="F29" s="12"/>
    </row>
    <row r="30" spans="1:6" x14ac:dyDescent="0.3">
      <c r="A30" s="8">
        <v>14810</v>
      </c>
      <c r="B30" s="9" t="s">
        <v>188</v>
      </c>
      <c r="C30" s="10">
        <v>990</v>
      </c>
      <c r="D30" s="4" t="s">
        <v>167</v>
      </c>
      <c r="E30" s="6">
        <v>46058</v>
      </c>
      <c r="F30" s="12"/>
    </row>
    <row r="31" spans="1:6" x14ac:dyDescent="0.3">
      <c r="A31" s="8">
        <v>14834</v>
      </c>
      <c r="B31" s="9" t="s">
        <v>189</v>
      </c>
      <c r="C31" s="10">
        <v>69000</v>
      </c>
      <c r="D31" s="4" t="s">
        <v>10</v>
      </c>
      <c r="E31" s="6">
        <v>46058</v>
      </c>
      <c r="F31" s="12" t="s">
        <v>181</v>
      </c>
    </row>
    <row r="32" spans="1:6" x14ac:dyDescent="0.3">
      <c r="A32" s="8">
        <v>14838</v>
      </c>
      <c r="B32" s="9" t="s">
        <v>190</v>
      </c>
      <c r="C32" s="10">
        <v>10649</v>
      </c>
      <c r="D32" s="4" t="s">
        <v>16</v>
      </c>
      <c r="E32" s="6">
        <v>46058</v>
      </c>
      <c r="F32" s="12"/>
    </row>
    <row r="33" spans="1:6" x14ac:dyDescent="0.3">
      <c r="A33" s="8">
        <v>14844</v>
      </c>
      <c r="B33" s="9" t="s">
        <v>191</v>
      </c>
      <c r="C33" s="10">
        <v>69</v>
      </c>
      <c r="D33" s="9" t="s">
        <v>167</v>
      </c>
      <c r="E33" s="6">
        <v>46059</v>
      </c>
      <c r="F33" s="12"/>
    </row>
    <row r="34" spans="1:6" x14ac:dyDescent="0.3">
      <c r="A34" s="8">
        <v>14849</v>
      </c>
      <c r="B34" s="9" t="s">
        <v>192</v>
      </c>
      <c r="C34" s="10">
        <v>6900</v>
      </c>
      <c r="D34" s="4" t="s">
        <v>10</v>
      </c>
      <c r="E34" s="6">
        <v>46059</v>
      </c>
      <c r="F34" s="12"/>
    </row>
    <row r="35" spans="1:6" x14ac:dyDescent="0.3">
      <c r="A35" s="8">
        <v>14815</v>
      </c>
      <c r="B35" s="9" t="s">
        <v>158</v>
      </c>
      <c r="C35" s="10">
        <v>3589</v>
      </c>
      <c r="D35" s="4" t="s">
        <v>50</v>
      </c>
      <c r="E35" s="6">
        <v>46059</v>
      </c>
      <c r="F35" s="12"/>
    </row>
    <row r="36" spans="1:6" x14ac:dyDescent="0.3">
      <c r="A36" s="8">
        <v>14851</v>
      </c>
      <c r="B36" s="9" t="s">
        <v>193</v>
      </c>
      <c r="C36" s="10">
        <v>11565</v>
      </c>
      <c r="D36" s="4" t="s">
        <v>10</v>
      </c>
      <c r="E36" s="6">
        <v>46059</v>
      </c>
      <c r="F36" s="12" t="s">
        <v>194</v>
      </c>
    </row>
    <row r="37" spans="1:6" x14ac:dyDescent="0.3">
      <c r="A37" s="8">
        <v>14852</v>
      </c>
      <c r="B37" s="9" t="s">
        <v>195</v>
      </c>
      <c r="C37" s="10">
        <v>12900</v>
      </c>
      <c r="D37" s="4" t="s">
        <v>13</v>
      </c>
      <c r="E37" s="6">
        <v>46059</v>
      </c>
      <c r="F37" s="12" t="s">
        <v>196</v>
      </c>
    </row>
    <row r="38" spans="1:6" x14ac:dyDescent="0.3">
      <c r="A38" s="8">
        <v>14855</v>
      </c>
      <c r="B38" s="9" t="s">
        <v>197</v>
      </c>
      <c r="C38" s="10">
        <v>22000</v>
      </c>
      <c r="D38" s="9" t="s">
        <v>16</v>
      </c>
      <c r="E38" s="6">
        <v>46059</v>
      </c>
      <c r="F38" s="12"/>
    </row>
    <row r="39" spans="1:6" x14ac:dyDescent="0.3">
      <c r="A39" s="8">
        <v>14857</v>
      </c>
      <c r="B39" s="9" t="s">
        <v>198</v>
      </c>
      <c r="C39" s="10">
        <v>9000</v>
      </c>
      <c r="D39" s="4" t="s">
        <v>13</v>
      </c>
      <c r="E39" s="6">
        <v>46059</v>
      </c>
      <c r="F39" s="12" t="s">
        <v>199</v>
      </c>
    </row>
    <row r="40" spans="1:6" x14ac:dyDescent="0.3">
      <c r="A40" s="8">
        <v>14858</v>
      </c>
      <c r="B40" s="9" t="s">
        <v>200</v>
      </c>
      <c r="C40" s="10">
        <v>978.5</v>
      </c>
      <c r="D40" s="4" t="s">
        <v>16</v>
      </c>
      <c r="E40" s="6">
        <v>46059</v>
      </c>
      <c r="F40" s="12"/>
    </row>
    <row r="41" spans="1:6" x14ac:dyDescent="0.3">
      <c r="A41" s="8">
        <v>14837</v>
      </c>
      <c r="B41" s="9" t="s">
        <v>203</v>
      </c>
      <c r="C41" s="10">
        <v>22800</v>
      </c>
      <c r="D41" s="4" t="s">
        <v>167</v>
      </c>
      <c r="E41" s="6">
        <v>46059</v>
      </c>
      <c r="F41" s="12"/>
    </row>
    <row r="42" spans="1:6" x14ac:dyDescent="0.3">
      <c r="A42" s="8">
        <v>14844</v>
      </c>
      <c r="B42" s="9" t="s">
        <v>201</v>
      </c>
      <c r="C42" s="10">
        <v>69</v>
      </c>
      <c r="D42" s="9" t="s">
        <v>167</v>
      </c>
      <c r="E42" s="6">
        <v>46059</v>
      </c>
      <c r="F42" s="12"/>
    </row>
    <row r="43" spans="1:6" x14ac:dyDescent="0.3">
      <c r="A43" s="8">
        <v>14850</v>
      </c>
      <c r="B43" s="9" t="s">
        <v>202</v>
      </c>
      <c r="C43" s="10">
        <v>4390</v>
      </c>
      <c r="D43" s="4" t="s">
        <v>167</v>
      </c>
      <c r="E43" s="6">
        <v>46059</v>
      </c>
      <c r="F43" s="12"/>
    </row>
    <row r="44" spans="1:6" x14ac:dyDescent="0.3">
      <c r="A44" s="8">
        <v>14869</v>
      </c>
      <c r="B44" s="9" t="s">
        <v>205</v>
      </c>
      <c r="C44" s="10">
        <v>5900</v>
      </c>
      <c r="D44" s="4" t="s">
        <v>167</v>
      </c>
      <c r="E44" s="6">
        <v>46062</v>
      </c>
      <c r="F44" s="12"/>
    </row>
    <row r="45" spans="1:6" x14ac:dyDescent="0.3">
      <c r="A45" s="8">
        <v>14872</v>
      </c>
      <c r="B45" s="9" t="s">
        <v>204</v>
      </c>
      <c r="C45" s="10">
        <v>12700</v>
      </c>
      <c r="D45" s="9" t="s">
        <v>16</v>
      </c>
      <c r="E45" s="11">
        <v>45697</v>
      </c>
      <c r="F45" s="12"/>
    </row>
    <row r="46" spans="1:6" x14ac:dyDescent="0.3">
      <c r="A46" s="8">
        <v>14881</v>
      </c>
      <c r="B46" s="9" t="s">
        <v>206</v>
      </c>
      <c r="C46" s="10">
        <v>4990</v>
      </c>
      <c r="D46" s="4" t="s">
        <v>10</v>
      </c>
      <c r="E46" s="6">
        <v>46062</v>
      </c>
      <c r="F46" s="12"/>
    </row>
    <row r="47" spans="1:6" x14ac:dyDescent="0.3">
      <c r="A47" s="8">
        <v>14886</v>
      </c>
      <c r="B47" s="9" t="s">
        <v>207</v>
      </c>
      <c r="C47" s="10">
        <v>22900</v>
      </c>
      <c r="D47" s="9" t="s">
        <v>16</v>
      </c>
      <c r="E47" s="11">
        <v>46427</v>
      </c>
      <c r="F47" s="12"/>
    </row>
    <row r="48" spans="1:6" x14ac:dyDescent="0.3">
      <c r="A48" s="8">
        <v>14894</v>
      </c>
      <c r="B48" s="9" t="s">
        <v>208</v>
      </c>
      <c r="C48" s="10">
        <v>10900</v>
      </c>
      <c r="D48" s="4" t="s">
        <v>10</v>
      </c>
      <c r="E48" s="6">
        <v>46062</v>
      </c>
      <c r="F48" s="12"/>
    </row>
    <row r="49" spans="1:6" x14ac:dyDescent="0.3">
      <c r="A49" s="8">
        <v>14896</v>
      </c>
      <c r="B49" s="9" t="s">
        <v>209</v>
      </c>
      <c r="C49" s="10">
        <v>5980</v>
      </c>
      <c r="D49" s="4" t="s">
        <v>10</v>
      </c>
      <c r="E49" s="6">
        <v>46063</v>
      </c>
      <c r="F49" s="12" t="s">
        <v>210</v>
      </c>
    </row>
    <row r="50" spans="1:6" x14ac:dyDescent="0.3">
      <c r="A50" s="8">
        <v>14898</v>
      </c>
      <c r="B50" s="9" t="s">
        <v>211</v>
      </c>
      <c r="C50" s="10">
        <v>1700</v>
      </c>
      <c r="D50" s="4" t="s">
        <v>10</v>
      </c>
      <c r="E50" s="6">
        <v>46063</v>
      </c>
      <c r="F50" s="12"/>
    </row>
    <row r="51" spans="1:6" x14ac:dyDescent="0.3">
      <c r="A51" s="8">
        <v>14899</v>
      </c>
      <c r="B51" s="9" t="s">
        <v>212</v>
      </c>
      <c r="C51" s="10">
        <v>690</v>
      </c>
      <c r="D51" s="4" t="s">
        <v>10</v>
      </c>
      <c r="E51" s="6">
        <v>46063</v>
      </c>
      <c r="F51" s="12"/>
    </row>
    <row r="52" spans="1:6" x14ac:dyDescent="0.3">
      <c r="A52" s="8">
        <v>14895</v>
      </c>
      <c r="B52" s="9" t="s">
        <v>213</v>
      </c>
      <c r="C52" s="10">
        <v>4490</v>
      </c>
      <c r="D52" s="9" t="s">
        <v>167</v>
      </c>
      <c r="E52" s="6">
        <v>46063</v>
      </c>
      <c r="F52" s="12"/>
    </row>
    <row r="53" spans="1:6" x14ac:dyDescent="0.3">
      <c r="A53" s="8">
        <v>14897</v>
      </c>
      <c r="B53" s="9" t="s">
        <v>214</v>
      </c>
      <c r="C53" s="10">
        <v>4490</v>
      </c>
      <c r="D53" s="9" t="s">
        <v>167</v>
      </c>
      <c r="E53" s="6">
        <v>46063</v>
      </c>
      <c r="F53" s="12"/>
    </row>
    <row r="54" spans="1:6" x14ac:dyDescent="0.3">
      <c r="A54" s="8">
        <v>14915</v>
      </c>
      <c r="B54" s="9" t="s">
        <v>105</v>
      </c>
      <c r="C54" s="10">
        <v>42242</v>
      </c>
      <c r="D54" s="9" t="s">
        <v>13</v>
      </c>
      <c r="E54" s="11">
        <v>46063</v>
      </c>
      <c r="F54" s="12"/>
    </row>
    <row r="55" spans="1:6" x14ac:dyDescent="0.3">
      <c r="A55" s="8">
        <v>14904</v>
      </c>
      <c r="B55" s="10" t="s">
        <v>215</v>
      </c>
      <c r="C55" s="10">
        <v>17000</v>
      </c>
      <c r="D55" s="4" t="s">
        <v>16</v>
      </c>
      <c r="E55" s="6">
        <v>46063</v>
      </c>
      <c r="F55" s="12"/>
    </row>
    <row r="56" spans="1:6" x14ac:dyDescent="0.3">
      <c r="A56" s="8">
        <v>14914</v>
      </c>
      <c r="B56" s="9" t="s">
        <v>216</v>
      </c>
      <c r="C56" s="10">
        <v>5680</v>
      </c>
      <c r="D56" s="4" t="s">
        <v>10</v>
      </c>
      <c r="E56" s="6">
        <v>46064</v>
      </c>
      <c r="F56" s="12"/>
    </row>
    <row r="57" spans="1:6" x14ac:dyDescent="0.3">
      <c r="A57" s="8">
        <v>14608</v>
      </c>
      <c r="B57" s="9" t="s">
        <v>217</v>
      </c>
      <c r="C57" s="10">
        <v>-63700</v>
      </c>
      <c r="D57" s="9" t="s">
        <v>217</v>
      </c>
      <c r="E57" s="11">
        <v>46064</v>
      </c>
      <c r="F57" s="12" t="s">
        <v>218</v>
      </c>
    </row>
    <row r="58" spans="1:6" x14ac:dyDescent="0.3">
      <c r="A58" s="8">
        <v>14921</v>
      </c>
      <c r="B58" s="9" t="s">
        <v>219</v>
      </c>
      <c r="C58" s="10">
        <v>17900</v>
      </c>
      <c r="D58" s="4" t="s">
        <v>10</v>
      </c>
      <c r="E58" s="6">
        <v>46064</v>
      </c>
      <c r="F58" s="12"/>
    </row>
    <row r="59" spans="1:6" x14ac:dyDescent="0.3">
      <c r="A59" s="8">
        <v>14922</v>
      </c>
      <c r="B59" s="9" t="s">
        <v>220</v>
      </c>
      <c r="C59" s="10">
        <v>14390</v>
      </c>
      <c r="D59" s="9" t="s">
        <v>16</v>
      </c>
      <c r="E59" s="11">
        <v>46064</v>
      </c>
      <c r="F59" s="12"/>
    </row>
    <row r="60" spans="1:6" x14ac:dyDescent="0.3">
      <c r="A60" s="8">
        <v>14925</v>
      </c>
      <c r="B60" s="9" t="s">
        <v>221</v>
      </c>
      <c r="C60" s="10">
        <v>2904</v>
      </c>
      <c r="D60" s="4" t="s">
        <v>16</v>
      </c>
      <c r="E60" s="6">
        <v>46064</v>
      </c>
      <c r="F60" s="12"/>
    </row>
    <row r="61" spans="1:6" x14ac:dyDescent="0.3">
      <c r="A61" s="8">
        <v>14926</v>
      </c>
      <c r="B61" s="9" t="s">
        <v>222</v>
      </c>
      <c r="C61" s="10">
        <v>4900</v>
      </c>
      <c r="D61" s="9" t="s">
        <v>13</v>
      </c>
      <c r="E61" s="6">
        <v>46064</v>
      </c>
      <c r="F61" s="12" t="s">
        <v>223</v>
      </c>
    </row>
    <row r="62" spans="1:6" x14ac:dyDescent="0.3">
      <c r="A62" s="8">
        <v>14927</v>
      </c>
      <c r="B62" s="9" t="s">
        <v>224</v>
      </c>
      <c r="C62" s="10">
        <v>4990</v>
      </c>
      <c r="D62" s="4" t="s">
        <v>16</v>
      </c>
      <c r="E62" s="6">
        <v>46064</v>
      </c>
      <c r="F62" s="12"/>
    </row>
    <row r="63" spans="1:6" x14ac:dyDescent="0.3">
      <c r="A63" s="8">
        <v>14916</v>
      </c>
      <c r="B63" s="9" t="s">
        <v>225</v>
      </c>
      <c r="C63" s="10">
        <v>69</v>
      </c>
      <c r="D63" s="4" t="s">
        <v>167</v>
      </c>
      <c r="E63" s="6">
        <v>46064</v>
      </c>
      <c r="F63" s="12"/>
    </row>
    <row r="64" spans="1:6" x14ac:dyDescent="0.3">
      <c r="A64" s="8">
        <v>14929</v>
      </c>
      <c r="B64" s="9" t="s">
        <v>226</v>
      </c>
      <c r="C64" s="10">
        <v>12900</v>
      </c>
      <c r="D64" s="4" t="s">
        <v>16</v>
      </c>
      <c r="E64" s="6">
        <v>46064</v>
      </c>
      <c r="F64" s="12"/>
    </row>
    <row r="65" spans="1:8" x14ac:dyDescent="0.3">
      <c r="A65" s="8">
        <v>14930</v>
      </c>
      <c r="B65" s="9" t="s">
        <v>227</v>
      </c>
      <c r="C65" s="10">
        <v>9800</v>
      </c>
      <c r="D65" s="4" t="s">
        <v>16</v>
      </c>
      <c r="E65" s="6">
        <v>46064</v>
      </c>
      <c r="F65" s="12"/>
    </row>
    <row r="66" spans="1:8" x14ac:dyDescent="0.3">
      <c r="A66" s="8">
        <v>14932</v>
      </c>
      <c r="B66" s="9" t="s">
        <v>228</v>
      </c>
      <c r="C66" s="10">
        <v>12513</v>
      </c>
      <c r="D66" s="9" t="s">
        <v>16</v>
      </c>
      <c r="E66" s="6">
        <v>46064</v>
      </c>
      <c r="F66" s="12"/>
      <c r="H66" s="13"/>
    </row>
    <row r="67" spans="1:8" x14ac:dyDescent="0.3">
      <c r="A67" s="8">
        <v>14943</v>
      </c>
      <c r="B67" s="9" t="s">
        <v>229</v>
      </c>
      <c r="C67" s="10">
        <v>169</v>
      </c>
      <c r="D67" s="9" t="s">
        <v>16</v>
      </c>
      <c r="E67" s="6">
        <v>46065</v>
      </c>
      <c r="F67" s="12"/>
    </row>
    <row r="68" spans="1:8" x14ac:dyDescent="0.3">
      <c r="A68" s="8">
        <v>14956</v>
      </c>
      <c r="B68" s="9" t="s">
        <v>230</v>
      </c>
      <c r="C68" s="10">
        <v>14390</v>
      </c>
      <c r="D68" s="4" t="s">
        <v>10</v>
      </c>
      <c r="E68" s="6">
        <v>46065</v>
      </c>
      <c r="F68" s="12"/>
    </row>
    <row r="69" spans="1:8" x14ac:dyDescent="0.3">
      <c r="A69" s="8">
        <v>14957</v>
      </c>
      <c r="B69" s="9" t="s">
        <v>231</v>
      </c>
      <c r="C69" s="10">
        <v>10649</v>
      </c>
      <c r="D69" s="4" t="s">
        <v>10</v>
      </c>
      <c r="E69" s="6">
        <v>46065</v>
      </c>
      <c r="F69" s="12" t="s">
        <v>232</v>
      </c>
    </row>
    <row r="70" spans="1:8" x14ac:dyDescent="0.3">
      <c r="A70" s="8">
        <v>14961</v>
      </c>
      <c r="B70" s="9" t="s">
        <v>233</v>
      </c>
      <c r="C70" s="10">
        <v>14390</v>
      </c>
      <c r="D70" s="9" t="s">
        <v>16</v>
      </c>
      <c r="E70" s="6">
        <v>46065</v>
      </c>
      <c r="F70" s="12" t="s">
        <v>20</v>
      </c>
    </row>
    <row r="71" spans="1:8" x14ac:dyDescent="0.3">
      <c r="A71" s="8">
        <v>14963</v>
      </c>
      <c r="B71" s="9" t="s">
        <v>234</v>
      </c>
      <c r="C71" s="10">
        <v>5900</v>
      </c>
      <c r="D71" s="4" t="s">
        <v>10</v>
      </c>
      <c r="E71" s="6">
        <v>46065</v>
      </c>
      <c r="F71" s="12" t="s">
        <v>235</v>
      </c>
    </row>
    <row r="72" spans="1:8" x14ac:dyDescent="0.3">
      <c r="A72" s="8">
        <v>14965</v>
      </c>
      <c r="B72" s="9" t="s">
        <v>236</v>
      </c>
      <c r="C72" s="10">
        <v>12850</v>
      </c>
      <c r="D72" s="4" t="s">
        <v>10</v>
      </c>
      <c r="E72" s="6">
        <v>46065</v>
      </c>
      <c r="F72" s="12"/>
    </row>
    <row r="73" spans="1:8" x14ac:dyDescent="0.3">
      <c r="A73" s="8">
        <v>14972</v>
      </c>
      <c r="B73" s="9" t="s">
        <v>237</v>
      </c>
      <c r="C73" s="10">
        <v>12600</v>
      </c>
      <c r="D73" s="4" t="s">
        <v>10</v>
      </c>
      <c r="E73" s="6">
        <v>46065</v>
      </c>
      <c r="F73" s="12"/>
    </row>
    <row r="74" spans="1:8" x14ac:dyDescent="0.3">
      <c r="A74" s="8">
        <v>14944</v>
      </c>
      <c r="B74" s="9" t="s">
        <v>238</v>
      </c>
      <c r="C74" s="10">
        <v>138</v>
      </c>
      <c r="D74" s="9" t="s">
        <v>167</v>
      </c>
      <c r="E74" s="6">
        <v>46065</v>
      </c>
      <c r="F74" s="12"/>
    </row>
    <row r="75" spans="1:8" x14ac:dyDescent="0.3">
      <c r="A75" s="8">
        <v>14945</v>
      </c>
      <c r="B75" s="9" t="s">
        <v>239</v>
      </c>
      <c r="C75" s="10">
        <v>4390</v>
      </c>
      <c r="D75" s="9" t="s">
        <v>167</v>
      </c>
      <c r="E75" s="6">
        <v>46065</v>
      </c>
      <c r="F75" s="12"/>
    </row>
    <row r="76" spans="1:8" x14ac:dyDescent="0.3">
      <c r="A76" s="8">
        <v>14947</v>
      </c>
      <c r="B76" s="9" t="s">
        <v>240</v>
      </c>
      <c r="C76" s="10">
        <v>7283</v>
      </c>
      <c r="D76" s="9" t="s">
        <v>167</v>
      </c>
      <c r="E76" s="6">
        <v>46065</v>
      </c>
      <c r="F76" s="12"/>
    </row>
    <row r="77" spans="1:8" x14ac:dyDescent="0.3">
      <c r="A77" s="8">
        <v>14950</v>
      </c>
      <c r="B77" s="9" t="s">
        <v>240</v>
      </c>
      <c r="C77" s="10">
        <v>1200</v>
      </c>
      <c r="D77" s="9" t="s">
        <v>167</v>
      </c>
      <c r="E77" s="6">
        <v>46065</v>
      </c>
      <c r="F77" s="12"/>
    </row>
    <row r="78" spans="1:8" x14ac:dyDescent="0.3">
      <c r="A78" s="8">
        <v>14980</v>
      </c>
      <c r="B78" s="9" t="s">
        <v>241</v>
      </c>
      <c r="C78" s="10">
        <v>1270.1500000000001</v>
      </c>
      <c r="D78" s="9" t="s">
        <v>16</v>
      </c>
      <c r="E78" s="6">
        <v>46065</v>
      </c>
      <c r="F78" s="12"/>
    </row>
    <row r="79" spans="1:8" x14ac:dyDescent="0.3">
      <c r="A79" s="8">
        <v>14981</v>
      </c>
      <c r="B79" s="9" t="s">
        <v>242</v>
      </c>
      <c r="C79" s="10">
        <v>7596</v>
      </c>
      <c r="D79" s="4" t="s">
        <v>10</v>
      </c>
      <c r="E79" s="6">
        <v>46065</v>
      </c>
      <c r="F79" s="12"/>
    </row>
    <row r="80" spans="1:8" x14ac:dyDescent="0.3">
      <c r="A80" s="8">
        <v>15010</v>
      </c>
      <c r="B80" s="9" t="s">
        <v>243</v>
      </c>
      <c r="C80" s="10">
        <v>12900</v>
      </c>
      <c r="D80" s="4" t="s">
        <v>10</v>
      </c>
      <c r="E80" s="6">
        <v>46066</v>
      </c>
      <c r="F80" s="12"/>
    </row>
    <row r="81" spans="1:6" x14ac:dyDescent="0.3">
      <c r="A81" s="8">
        <v>15012</v>
      </c>
      <c r="B81" s="9" t="s">
        <v>244</v>
      </c>
      <c r="C81" s="10">
        <v>1612</v>
      </c>
      <c r="D81" s="4" t="s">
        <v>10</v>
      </c>
      <c r="E81" s="6">
        <v>46066</v>
      </c>
      <c r="F81" s="12"/>
    </row>
    <row r="82" spans="1:6" x14ac:dyDescent="0.3">
      <c r="A82" s="8">
        <v>15021</v>
      </c>
      <c r="B82" s="9" t="s">
        <v>245</v>
      </c>
      <c r="C82" s="10">
        <v>14390</v>
      </c>
      <c r="D82" s="9" t="s">
        <v>16</v>
      </c>
      <c r="E82" s="11">
        <v>46066</v>
      </c>
      <c r="F82" s="12"/>
    </row>
    <row r="83" spans="1:6" x14ac:dyDescent="0.3">
      <c r="A83" s="8">
        <v>14892</v>
      </c>
      <c r="B83" s="9" t="s">
        <v>246</v>
      </c>
      <c r="C83" s="10">
        <v>34575.25</v>
      </c>
      <c r="D83" s="9" t="s">
        <v>167</v>
      </c>
      <c r="E83" s="11">
        <v>46072</v>
      </c>
      <c r="F83" s="12"/>
    </row>
    <row r="84" spans="1:6" x14ac:dyDescent="0.3">
      <c r="A84" s="8">
        <v>15035</v>
      </c>
      <c r="B84" s="9" t="s">
        <v>247</v>
      </c>
      <c r="C84" s="10">
        <v>44200</v>
      </c>
      <c r="D84" s="9" t="s">
        <v>13</v>
      </c>
      <c r="E84" s="11">
        <v>46072</v>
      </c>
      <c r="F84" s="12"/>
    </row>
    <row r="85" spans="1:6" x14ac:dyDescent="0.3">
      <c r="A85" s="8">
        <v>15034</v>
      </c>
      <c r="B85" s="9" t="s">
        <v>248</v>
      </c>
      <c r="C85" s="10">
        <v>14390</v>
      </c>
      <c r="D85" s="4" t="s">
        <v>10</v>
      </c>
      <c r="E85" s="6">
        <v>46072</v>
      </c>
      <c r="F85" s="12"/>
    </row>
    <row r="86" spans="1:6" x14ac:dyDescent="0.3">
      <c r="A86" s="8">
        <v>15026</v>
      </c>
      <c r="B86" s="9" t="s">
        <v>249</v>
      </c>
      <c r="C86" s="10">
        <v>49</v>
      </c>
      <c r="D86" s="9" t="s">
        <v>167</v>
      </c>
      <c r="E86" s="11">
        <v>46072</v>
      </c>
      <c r="F86" s="12"/>
    </row>
    <row r="87" spans="1:6" x14ac:dyDescent="0.3">
      <c r="A87" s="8">
        <v>15027</v>
      </c>
      <c r="B87" s="9" t="s">
        <v>250</v>
      </c>
      <c r="C87" s="10">
        <v>138</v>
      </c>
      <c r="D87" s="9" t="s">
        <v>167</v>
      </c>
      <c r="E87" s="6">
        <v>46072</v>
      </c>
      <c r="F87" s="12"/>
    </row>
    <row r="88" spans="1:6" x14ac:dyDescent="0.3">
      <c r="A88" s="8">
        <v>15028</v>
      </c>
      <c r="B88" s="9" t="s">
        <v>251</v>
      </c>
      <c r="C88" s="10">
        <v>483</v>
      </c>
      <c r="D88" s="4" t="s">
        <v>167</v>
      </c>
      <c r="E88" s="11">
        <v>46072</v>
      </c>
      <c r="F88" s="12"/>
    </row>
    <row r="89" spans="1:6" x14ac:dyDescent="0.3">
      <c r="A89" s="8">
        <v>15036</v>
      </c>
      <c r="B89" s="9" t="s">
        <v>252</v>
      </c>
      <c r="C89" s="10">
        <v>10649</v>
      </c>
      <c r="D89" s="9" t="s">
        <v>16</v>
      </c>
      <c r="E89" s="6">
        <v>46072</v>
      </c>
      <c r="F89" s="12"/>
    </row>
    <row r="90" spans="1:6" x14ac:dyDescent="0.3">
      <c r="A90" s="8">
        <v>15037</v>
      </c>
      <c r="B90" s="9" t="s">
        <v>253</v>
      </c>
      <c r="C90" s="10">
        <v>176</v>
      </c>
      <c r="D90" s="9" t="s">
        <v>16</v>
      </c>
      <c r="E90" s="11">
        <v>46072</v>
      </c>
      <c r="F90" s="12"/>
    </row>
    <row r="91" spans="1:6" x14ac:dyDescent="0.3">
      <c r="A91" s="8">
        <v>15041</v>
      </c>
      <c r="B91" s="9" t="s">
        <v>254</v>
      </c>
      <c r="C91" s="10">
        <v>4080</v>
      </c>
      <c r="D91" s="9" t="s">
        <v>16</v>
      </c>
      <c r="E91" s="6">
        <v>46072</v>
      </c>
      <c r="F91" s="34"/>
    </row>
    <row r="92" spans="1:6" x14ac:dyDescent="0.3">
      <c r="A92" s="32">
        <v>15046</v>
      </c>
      <c r="B92" s="33" t="s">
        <v>255</v>
      </c>
      <c r="C92" s="10">
        <v>10649</v>
      </c>
      <c r="D92" s="9" t="s">
        <v>16</v>
      </c>
      <c r="E92" s="11">
        <v>46072</v>
      </c>
      <c r="F92" s="21"/>
    </row>
    <row r="93" spans="1:6" x14ac:dyDescent="0.3">
      <c r="A93" s="8">
        <v>15050</v>
      </c>
      <c r="B93" s="9" t="s">
        <v>256</v>
      </c>
      <c r="C93" s="10">
        <v>9585</v>
      </c>
      <c r="D93" s="9" t="s">
        <v>13</v>
      </c>
      <c r="E93" s="11">
        <v>46072</v>
      </c>
      <c r="F93" s="12"/>
    </row>
    <row r="94" spans="1:6" x14ac:dyDescent="0.3">
      <c r="A94" s="8">
        <v>15055</v>
      </c>
      <c r="B94" s="9" t="s">
        <v>257</v>
      </c>
      <c r="C94" s="10">
        <v>1285.5</v>
      </c>
      <c r="D94" s="9" t="s">
        <v>16</v>
      </c>
      <c r="E94" s="11">
        <v>46072</v>
      </c>
      <c r="F94" s="12"/>
    </row>
    <row r="95" spans="1:6" x14ac:dyDescent="0.3">
      <c r="A95" s="8">
        <v>15058</v>
      </c>
      <c r="B95" s="9" t="s">
        <v>258</v>
      </c>
      <c r="C95" s="10">
        <v>15960</v>
      </c>
      <c r="D95" s="9" t="s">
        <v>16</v>
      </c>
      <c r="E95" s="11">
        <v>45708</v>
      </c>
      <c r="F95" s="12"/>
    </row>
    <row r="96" spans="1:6" x14ac:dyDescent="0.3">
      <c r="A96" s="8">
        <v>15065</v>
      </c>
      <c r="B96" s="9" t="s">
        <v>259</v>
      </c>
      <c r="C96" s="10">
        <v>10400</v>
      </c>
      <c r="D96" s="4" t="s">
        <v>10</v>
      </c>
      <c r="E96" s="6">
        <v>46073</v>
      </c>
      <c r="F96" s="12" t="s">
        <v>260</v>
      </c>
    </row>
    <row r="97" spans="1:6" x14ac:dyDescent="0.3">
      <c r="A97" s="8">
        <v>15067</v>
      </c>
      <c r="B97" s="9" t="s">
        <v>261</v>
      </c>
      <c r="C97" s="10">
        <v>7900</v>
      </c>
      <c r="D97" s="4" t="s">
        <v>10</v>
      </c>
      <c r="E97" s="6">
        <v>46073</v>
      </c>
      <c r="F97" s="12" t="s">
        <v>262</v>
      </c>
    </row>
    <row r="98" spans="1:6" x14ac:dyDescent="0.3">
      <c r="A98" s="8">
        <v>15063</v>
      </c>
      <c r="B98" s="9" t="s">
        <v>263</v>
      </c>
      <c r="C98" s="10">
        <v>98</v>
      </c>
      <c r="D98" s="9" t="s">
        <v>167</v>
      </c>
      <c r="E98" s="6">
        <v>46073</v>
      </c>
      <c r="F98" s="12"/>
    </row>
    <row r="99" spans="1:6" x14ac:dyDescent="0.3">
      <c r="A99" s="8">
        <v>15068</v>
      </c>
      <c r="B99" s="9" t="s">
        <v>264</v>
      </c>
      <c r="C99" s="10">
        <v>278</v>
      </c>
      <c r="D99" s="9" t="s">
        <v>167</v>
      </c>
      <c r="E99" s="6">
        <v>46073</v>
      </c>
      <c r="F99" s="12"/>
    </row>
    <row r="100" spans="1:6" x14ac:dyDescent="0.3">
      <c r="A100" s="8">
        <v>15069</v>
      </c>
      <c r="B100" s="9" t="s">
        <v>265</v>
      </c>
      <c r="C100" s="10">
        <v>99</v>
      </c>
      <c r="D100" s="9" t="s">
        <v>167</v>
      </c>
      <c r="E100" s="6">
        <v>46073</v>
      </c>
      <c r="F100" s="12"/>
    </row>
    <row r="101" spans="1:6" x14ac:dyDescent="0.3">
      <c r="A101" s="8">
        <v>15078</v>
      </c>
      <c r="B101" s="9" t="s">
        <v>266</v>
      </c>
      <c r="C101" s="10">
        <v>10649</v>
      </c>
      <c r="D101" s="4" t="s">
        <v>10</v>
      </c>
      <c r="E101" s="6">
        <v>46073</v>
      </c>
      <c r="F101" s="12"/>
    </row>
    <row r="102" spans="1:6" x14ac:dyDescent="0.3">
      <c r="A102" s="8">
        <v>15088</v>
      </c>
      <c r="B102" s="9" t="s">
        <v>18</v>
      </c>
      <c r="C102" s="10">
        <v>828</v>
      </c>
      <c r="D102" s="4" t="s">
        <v>16</v>
      </c>
      <c r="E102" s="6">
        <v>46073</v>
      </c>
      <c r="F102" s="12"/>
    </row>
    <row r="103" spans="1:6" x14ac:dyDescent="0.3">
      <c r="A103" s="8">
        <v>15092</v>
      </c>
      <c r="B103" s="9" t="s">
        <v>267</v>
      </c>
      <c r="C103" s="10">
        <v>250.65</v>
      </c>
      <c r="D103" s="9" t="s">
        <v>16</v>
      </c>
      <c r="E103" s="6">
        <v>46073</v>
      </c>
      <c r="F103" s="12"/>
    </row>
    <row r="104" spans="1:6" x14ac:dyDescent="0.3">
      <c r="A104" s="8">
        <v>15093</v>
      </c>
      <c r="B104" s="9" t="s">
        <v>268</v>
      </c>
      <c r="C104" s="10">
        <v>2690</v>
      </c>
      <c r="D104" s="9" t="s">
        <v>13</v>
      </c>
      <c r="E104" s="6">
        <v>46073</v>
      </c>
      <c r="F104" s="12"/>
    </row>
    <row r="105" spans="1:6" x14ac:dyDescent="0.3">
      <c r="A105" s="8">
        <v>15113</v>
      </c>
      <c r="B105" s="9" t="s">
        <v>269</v>
      </c>
      <c r="C105" s="10">
        <v>1305</v>
      </c>
      <c r="D105" s="4" t="s">
        <v>10</v>
      </c>
      <c r="E105" s="6">
        <v>46076</v>
      </c>
      <c r="F105" s="12"/>
    </row>
    <row r="106" spans="1:6" x14ac:dyDescent="0.3">
      <c r="A106" s="8">
        <v>15118</v>
      </c>
      <c r="B106" s="9" t="s">
        <v>270</v>
      </c>
      <c r="C106" s="10">
        <v>356.75</v>
      </c>
      <c r="D106" s="9" t="s">
        <v>16</v>
      </c>
      <c r="E106" s="11">
        <v>46076</v>
      </c>
      <c r="F106" s="12"/>
    </row>
    <row r="107" spans="1:6" x14ac:dyDescent="0.3">
      <c r="A107" s="8">
        <v>15126</v>
      </c>
      <c r="B107" s="9" t="s">
        <v>271</v>
      </c>
      <c r="C107" s="10">
        <v>5723</v>
      </c>
      <c r="D107" s="9" t="s">
        <v>16</v>
      </c>
      <c r="E107" s="6">
        <v>46076</v>
      </c>
      <c r="F107" s="12"/>
    </row>
    <row r="108" spans="1:6" x14ac:dyDescent="0.3">
      <c r="A108" s="8">
        <v>15109</v>
      </c>
      <c r="B108" s="9" t="s">
        <v>272</v>
      </c>
      <c r="C108" s="10">
        <v>475.3</v>
      </c>
      <c r="D108" s="9" t="s">
        <v>167</v>
      </c>
      <c r="E108" s="11">
        <v>46076</v>
      </c>
      <c r="F108" s="12"/>
    </row>
    <row r="109" spans="1:6" x14ac:dyDescent="0.3">
      <c r="A109" s="8">
        <v>15113</v>
      </c>
      <c r="B109" s="9" t="s">
        <v>273</v>
      </c>
      <c r="C109" s="10">
        <v>627</v>
      </c>
      <c r="D109" s="9" t="s">
        <v>167</v>
      </c>
      <c r="E109" s="6">
        <v>46076</v>
      </c>
      <c r="F109" s="12"/>
    </row>
    <row r="110" spans="1:6" x14ac:dyDescent="0.3">
      <c r="A110" s="8">
        <v>15129</v>
      </c>
      <c r="B110" s="9" t="s">
        <v>274</v>
      </c>
      <c r="C110" s="10">
        <v>14390</v>
      </c>
      <c r="D110" s="9" t="s">
        <v>16</v>
      </c>
      <c r="E110" s="11">
        <v>46076</v>
      </c>
      <c r="F110" s="12"/>
    </row>
    <row r="111" spans="1:6" x14ac:dyDescent="0.3">
      <c r="A111" s="8">
        <v>15134</v>
      </c>
      <c r="B111" s="9" t="s">
        <v>275</v>
      </c>
      <c r="C111" s="10">
        <v>44725.16</v>
      </c>
      <c r="D111" s="9" t="s">
        <v>13</v>
      </c>
      <c r="E111" s="11">
        <v>46076</v>
      </c>
      <c r="F111" s="12" t="s">
        <v>276</v>
      </c>
    </row>
    <row r="112" spans="1:6" x14ac:dyDescent="0.3">
      <c r="A112" s="8">
        <v>15136</v>
      </c>
      <c r="B112" s="9" t="s">
        <v>277</v>
      </c>
      <c r="C112" s="10">
        <v>854</v>
      </c>
      <c r="D112" s="9" t="s">
        <v>16</v>
      </c>
      <c r="E112" s="11">
        <v>46076</v>
      </c>
      <c r="F112" s="12"/>
    </row>
    <row r="113" spans="1:6" x14ac:dyDescent="0.3">
      <c r="A113" s="25">
        <v>15084</v>
      </c>
      <c r="B113" s="9" t="s">
        <v>278</v>
      </c>
      <c r="C113" s="28">
        <v>990</v>
      </c>
      <c r="D113" s="4" t="s">
        <v>10</v>
      </c>
      <c r="E113" s="6">
        <v>46076</v>
      </c>
      <c r="F113" s="12"/>
    </row>
    <row r="114" spans="1:6" x14ac:dyDescent="0.3">
      <c r="A114" s="8">
        <v>15141</v>
      </c>
      <c r="B114" s="9" t="s">
        <v>279</v>
      </c>
      <c r="C114" s="10">
        <v>70992.679999999993</v>
      </c>
      <c r="D114" s="9" t="s">
        <v>13</v>
      </c>
      <c r="E114" s="6">
        <v>46076</v>
      </c>
      <c r="F114" s="12" t="s">
        <v>276</v>
      </c>
    </row>
    <row r="115" spans="1:6" x14ac:dyDescent="0.3">
      <c r="A115" s="8">
        <v>15143</v>
      </c>
      <c r="B115" s="9" t="s">
        <v>280</v>
      </c>
      <c r="C115" s="10">
        <v>33500</v>
      </c>
      <c r="D115" s="9" t="s">
        <v>13</v>
      </c>
      <c r="E115" s="6">
        <v>46077</v>
      </c>
      <c r="F115" s="12"/>
    </row>
    <row r="116" spans="1:6" x14ac:dyDescent="0.3">
      <c r="A116" s="8">
        <v>15156</v>
      </c>
      <c r="B116" s="9" t="s">
        <v>281</v>
      </c>
      <c r="C116" s="10">
        <v>18900</v>
      </c>
      <c r="D116" s="9" t="s">
        <v>13</v>
      </c>
      <c r="E116" s="6">
        <v>46077</v>
      </c>
      <c r="F116" s="12"/>
    </row>
    <row r="117" spans="1:6" x14ac:dyDescent="0.3">
      <c r="A117" s="8">
        <v>15144</v>
      </c>
      <c r="B117" s="9" t="s">
        <v>282</v>
      </c>
      <c r="C117" s="10">
        <v>88711</v>
      </c>
      <c r="D117" s="9" t="s">
        <v>16</v>
      </c>
      <c r="E117" s="6">
        <v>46077</v>
      </c>
      <c r="F117" s="12"/>
    </row>
    <row r="118" spans="1:6" x14ac:dyDescent="0.3">
      <c r="A118" s="8">
        <v>15146</v>
      </c>
      <c r="B118" s="9" t="s">
        <v>214</v>
      </c>
      <c r="C118" s="10">
        <v>209</v>
      </c>
      <c r="D118" s="9" t="s">
        <v>167</v>
      </c>
      <c r="E118" s="6">
        <v>46077</v>
      </c>
      <c r="F118" s="12"/>
    </row>
    <row r="119" spans="1:6" x14ac:dyDescent="0.3">
      <c r="A119" s="8">
        <v>15151</v>
      </c>
      <c r="B119" s="9" t="s">
        <v>283</v>
      </c>
      <c r="C119" s="10">
        <v>16600</v>
      </c>
      <c r="D119" s="9" t="s">
        <v>167</v>
      </c>
      <c r="E119" s="6">
        <v>46077</v>
      </c>
      <c r="F119" s="12"/>
    </row>
    <row r="120" spans="1:6" x14ac:dyDescent="0.3">
      <c r="A120" s="8">
        <v>15161</v>
      </c>
      <c r="B120" s="9" t="s">
        <v>284</v>
      </c>
      <c r="C120" s="10">
        <v>336</v>
      </c>
      <c r="D120" s="9" t="s">
        <v>16</v>
      </c>
      <c r="E120" s="6">
        <v>46077</v>
      </c>
      <c r="F120" s="12"/>
    </row>
    <row r="121" spans="1:6" x14ac:dyDescent="0.3">
      <c r="A121" s="8">
        <v>15179</v>
      </c>
      <c r="B121" s="9" t="s">
        <v>286</v>
      </c>
      <c r="C121" s="10">
        <v>12900</v>
      </c>
      <c r="D121" s="4" t="s">
        <v>10</v>
      </c>
      <c r="E121" s="6">
        <v>46078</v>
      </c>
      <c r="F121" s="31" t="s">
        <v>287</v>
      </c>
    </row>
    <row r="122" spans="1:6" x14ac:dyDescent="0.3">
      <c r="A122" s="8">
        <v>15181</v>
      </c>
      <c r="B122" s="9" t="s">
        <v>288</v>
      </c>
      <c r="C122" s="10">
        <v>5900</v>
      </c>
      <c r="D122" s="9" t="s">
        <v>16</v>
      </c>
      <c r="E122" s="6">
        <v>46078</v>
      </c>
      <c r="F122" s="12"/>
    </row>
    <row r="123" spans="1:6" x14ac:dyDescent="0.3">
      <c r="A123" s="8">
        <v>15183</v>
      </c>
      <c r="B123" s="9" t="s">
        <v>289</v>
      </c>
      <c r="C123" s="10">
        <v>5900</v>
      </c>
      <c r="D123" s="4" t="s">
        <v>10</v>
      </c>
      <c r="E123" s="6">
        <v>46078</v>
      </c>
      <c r="F123" s="12"/>
    </row>
    <row r="124" spans="1:6" x14ac:dyDescent="0.3">
      <c r="A124" s="8">
        <v>15195</v>
      </c>
      <c r="B124" s="9" t="s">
        <v>290</v>
      </c>
      <c r="C124" s="10">
        <v>12900</v>
      </c>
      <c r="D124" s="9" t="s">
        <v>16</v>
      </c>
      <c r="E124" s="6">
        <v>46078</v>
      </c>
      <c r="F124" s="12"/>
    </row>
    <row r="125" spans="1:6" x14ac:dyDescent="0.3">
      <c r="A125" s="8">
        <v>15205</v>
      </c>
      <c r="B125" s="9" t="s">
        <v>291</v>
      </c>
      <c r="C125" s="10">
        <v>5723</v>
      </c>
      <c r="D125" s="9" t="s">
        <v>16</v>
      </c>
      <c r="E125" s="6">
        <v>46078</v>
      </c>
      <c r="F125" s="12"/>
    </row>
    <row r="126" spans="1:6" x14ac:dyDescent="0.3">
      <c r="A126" s="8">
        <v>15210</v>
      </c>
      <c r="B126" s="9" t="s">
        <v>292</v>
      </c>
      <c r="C126" s="10">
        <v>655.5</v>
      </c>
      <c r="D126" s="9" t="s">
        <v>16</v>
      </c>
      <c r="E126" s="6">
        <v>46078</v>
      </c>
      <c r="F126" s="12"/>
    </row>
    <row r="127" spans="1:6" x14ac:dyDescent="0.3">
      <c r="A127" s="8">
        <v>15185</v>
      </c>
      <c r="B127" s="9" t="s">
        <v>295</v>
      </c>
      <c r="C127" s="10">
        <v>4490</v>
      </c>
      <c r="D127" s="4" t="s">
        <v>167</v>
      </c>
      <c r="E127" s="6">
        <v>46078</v>
      </c>
      <c r="F127" s="12"/>
    </row>
    <row r="128" spans="1:6" x14ac:dyDescent="0.3">
      <c r="A128" s="8">
        <v>15189</v>
      </c>
      <c r="B128" s="9" t="s">
        <v>296</v>
      </c>
      <c r="C128" s="10">
        <v>655.5</v>
      </c>
      <c r="D128" s="9" t="s">
        <v>167</v>
      </c>
      <c r="E128" s="6">
        <v>46078</v>
      </c>
      <c r="F128" s="12"/>
    </row>
    <row r="129" spans="1:6" x14ac:dyDescent="0.3">
      <c r="A129" s="8">
        <v>15190</v>
      </c>
      <c r="B129" s="9" t="s">
        <v>297</v>
      </c>
      <c r="C129" s="10">
        <v>209</v>
      </c>
      <c r="D129" s="9" t="s">
        <v>167</v>
      </c>
      <c r="E129" s="6">
        <v>46078</v>
      </c>
      <c r="F129" s="12"/>
    </row>
    <row r="130" spans="1:6" x14ac:dyDescent="0.3">
      <c r="A130" s="8">
        <v>15192</v>
      </c>
      <c r="B130" s="9" t="s">
        <v>298</v>
      </c>
      <c r="C130" s="10">
        <v>16900</v>
      </c>
      <c r="D130" s="9" t="s">
        <v>167</v>
      </c>
      <c r="E130" s="6">
        <v>46078</v>
      </c>
      <c r="F130" s="12"/>
    </row>
    <row r="131" spans="1:6" x14ac:dyDescent="0.3">
      <c r="A131" s="8">
        <v>15215</v>
      </c>
      <c r="B131" s="9" t="s">
        <v>293</v>
      </c>
      <c r="C131" s="10">
        <v>10649</v>
      </c>
      <c r="D131" s="9" t="s">
        <v>10</v>
      </c>
      <c r="E131" s="11">
        <v>46079</v>
      </c>
      <c r="F131" s="12"/>
    </row>
    <row r="132" spans="1:6" x14ac:dyDescent="0.3">
      <c r="A132" s="8">
        <v>15216</v>
      </c>
      <c r="B132" s="9" t="s">
        <v>294</v>
      </c>
      <c r="C132" s="10">
        <v>9371</v>
      </c>
      <c r="D132" s="9" t="s">
        <v>16</v>
      </c>
      <c r="E132" s="11">
        <v>46079</v>
      </c>
      <c r="F132" s="12" t="s">
        <v>299</v>
      </c>
    </row>
    <row r="133" spans="1:6" x14ac:dyDescent="0.3">
      <c r="A133" s="8">
        <v>15218</v>
      </c>
      <c r="B133" s="9" t="s">
        <v>254</v>
      </c>
      <c r="C133" s="10">
        <v>6500</v>
      </c>
      <c r="D133" s="9" t="s">
        <v>16</v>
      </c>
      <c r="E133" s="11">
        <v>46079</v>
      </c>
      <c r="F133" s="12"/>
    </row>
    <row r="134" spans="1:6" x14ac:dyDescent="0.3">
      <c r="A134" s="8">
        <v>15219</v>
      </c>
      <c r="B134" s="9" t="s">
        <v>300</v>
      </c>
      <c r="C134" s="10">
        <v>4490</v>
      </c>
      <c r="D134" s="9" t="s">
        <v>167</v>
      </c>
      <c r="E134" s="11">
        <v>46079</v>
      </c>
      <c r="F134" s="12"/>
    </row>
    <row r="135" spans="1:6" x14ac:dyDescent="0.3">
      <c r="A135" s="8">
        <v>15220</v>
      </c>
      <c r="B135" s="9" t="s">
        <v>301</v>
      </c>
      <c r="C135" s="10">
        <v>11822</v>
      </c>
      <c r="D135" s="9" t="s">
        <v>10</v>
      </c>
      <c r="E135" s="11">
        <v>46079</v>
      </c>
      <c r="F135" s="12" t="s">
        <v>302</v>
      </c>
    </row>
    <row r="136" spans="1:6" x14ac:dyDescent="0.3">
      <c r="A136" s="14">
        <v>15223</v>
      </c>
      <c r="B136" s="15" t="s">
        <v>303</v>
      </c>
      <c r="C136" s="16">
        <v>5890</v>
      </c>
      <c r="D136" s="9" t="s">
        <v>16</v>
      </c>
      <c r="E136" s="11">
        <v>46079</v>
      </c>
      <c r="F136" s="12"/>
    </row>
    <row r="137" spans="1:6" x14ac:dyDescent="0.3">
      <c r="A137" s="14">
        <v>15225</v>
      </c>
      <c r="B137" s="15" t="s">
        <v>304</v>
      </c>
      <c r="C137" s="16">
        <v>198</v>
      </c>
      <c r="D137" s="9" t="s">
        <v>16</v>
      </c>
      <c r="E137" s="11">
        <v>46079</v>
      </c>
      <c r="F137" s="12"/>
    </row>
    <row r="138" spans="1:6" x14ac:dyDescent="0.3">
      <c r="A138" s="8">
        <v>15226</v>
      </c>
      <c r="B138" s="9" t="s">
        <v>305</v>
      </c>
      <c r="C138" s="10">
        <v>35521</v>
      </c>
      <c r="D138" s="9" t="s">
        <v>10</v>
      </c>
      <c r="E138" s="11">
        <v>46079</v>
      </c>
      <c r="F138" s="12"/>
    </row>
    <row r="139" spans="1:6" x14ac:dyDescent="0.3">
      <c r="A139" s="8">
        <v>15226</v>
      </c>
      <c r="B139" s="9" t="s">
        <v>306</v>
      </c>
      <c r="C139" s="10">
        <v>5900</v>
      </c>
      <c r="D139" s="9" t="s">
        <v>10</v>
      </c>
      <c r="E139" s="11">
        <v>46079</v>
      </c>
      <c r="F139" s="12"/>
    </row>
    <row r="140" spans="1:6" x14ac:dyDescent="0.3">
      <c r="A140" s="8">
        <v>15240</v>
      </c>
      <c r="B140" s="9" t="s">
        <v>307</v>
      </c>
      <c r="C140" s="10">
        <v>3690</v>
      </c>
      <c r="D140" s="9" t="s">
        <v>13</v>
      </c>
      <c r="E140" s="11">
        <v>46080</v>
      </c>
      <c r="F140" s="12"/>
    </row>
    <row r="141" spans="1:6" x14ac:dyDescent="0.3">
      <c r="A141" s="8">
        <v>15258</v>
      </c>
      <c r="B141" s="9" t="s">
        <v>308</v>
      </c>
      <c r="C141" s="10">
        <v>9584.1</v>
      </c>
      <c r="D141" s="9" t="s">
        <v>13</v>
      </c>
      <c r="E141" s="11">
        <v>46080</v>
      </c>
      <c r="F141" s="12"/>
    </row>
    <row r="142" spans="1:6" x14ac:dyDescent="0.3">
      <c r="A142" s="8">
        <v>15243</v>
      </c>
      <c r="B142" s="9" t="s">
        <v>309</v>
      </c>
      <c r="C142" s="10">
        <v>405.46</v>
      </c>
      <c r="D142" s="9" t="s">
        <v>167</v>
      </c>
      <c r="E142" s="11">
        <v>46080</v>
      </c>
      <c r="F142" s="12"/>
    </row>
    <row r="143" spans="1:6" ht="15.75" customHeight="1" x14ac:dyDescent="0.3">
      <c r="A143" s="8">
        <v>15246</v>
      </c>
      <c r="B143" s="9" t="s">
        <v>310</v>
      </c>
      <c r="C143" s="10">
        <v>138</v>
      </c>
      <c r="D143" s="9" t="s">
        <v>167</v>
      </c>
      <c r="E143" s="11">
        <v>46080</v>
      </c>
      <c r="F143" s="12"/>
    </row>
    <row r="144" spans="1:6" x14ac:dyDescent="0.3">
      <c r="A144" s="27">
        <v>15250</v>
      </c>
      <c r="B144" s="9" t="s">
        <v>311</v>
      </c>
      <c r="C144" s="30">
        <v>301.73</v>
      </c>
      <c r="D144" s="9" t="s">
        <v>167</v>
      </c>
      <c r="E144" s="11">
        <v>46080</v>
      </c>
      <c r="F144" s="12"/>
    </row>
    <row r="145" spans="1:6" x14ac:dyDescent="0.3">
      <c r="A145" s="8">
        <v>15252</v>
      </c>
      <c r="B145" s="9" t="s">
        <v>312</v>
      </c>
      <c r="C145" s="10">
        <v>5111</v>
      </c>
      <c r="D145" s="9" t="s">
        <v>167</v>
      </c>
      <c r="E145" s="11">
        <v>46080</v>
      </c>
      <c r="F145" s="12"/>
    </row>
    <row r="146" spans="1:6" x14ac:dyDescent="0.3">
      <c r="A146" s="8">
        <v>15263</v>
      </c>
      <c r="B146" s="9" t="s">
        <v>313</v>
      </c>
      <c r="C146" s="10">
        <v>5980</v>
      </c>
      <c r="D146" s="9" t="s">
        <v>16</v>
      </c>
      <c r="E146" s="11">
        <v>46080</v>
      </c>
      <c r="F146" s="12"/>
    </row>
    <row r="147" spans="1:6" x14ac:dyDescent="0.3">
      <c r="A147" s="8">
        <v>15267</v>
      </c>
      <c r="B147" s="9" t="s">
        <v>314</v>
      </c>
      <c r="C147" s="10">
        <v>334.65</v>
      </c>
      <c r="D147" s="9" t="s">
        <v>167</v>
      </c>
      <c r="E147" s="11">
        <v>46080</v>
      </c>
      <c r="F147" s="12"/>
    </row>
    <row r="148" spans="1:6" x14ac:dyDescent="0.3">
      <c r="A148" s="8">
        <v>15255</v>
      </c>
      <c r="B148" s="9" t="s">
        <v>315</v>
      </c>
      <c r="C148" s="10">
        <v>472</v>
      </c>
      <c r="D148" s="9" t="s">
        <v>10</v>
      </c>
      <c r="E148" s="11">
        <v>46080</v>
      </c>
      <c r="F148" s="12"/>
    </row>
    <row r="149" spans="1:6" x14ac:dyDescent="0.3">
      <c r="A149" s="14">
        <v>15270</v>
      </c>
      <c r="B149" s="15" t="s">
        <v>316</v>
      </c>
      <c r="C149" s="16">
        <v>1090</v>
      </c>
      <c r="D149" s="15" t="s">
        <v>167</v>
      </c>
      <c r="E149" s="11">
        <v>46080</v>
      </c>
      <c r="F149" s="12"/>
    </row>
    <row r="150" spans="1:6" x14ac:dyDescent="0.3">
      <c r="A150" s="14">
        <v>15297</v>
      </c>
      <c r="B150" s="15" t="s">
        <v>317</v>
      </c>
      <c r="C150" s="16">
        <v>5000</v>
      </c>
      <c r="D150" s="9" t="s">
        <v>13</v>
      </c>
      <c r="E150" s="11">
        <v>46080</v>
      </c>
      <c r="F150" s="12"/>
    </row>
    <row r="151" spans="1:6" x14ac:dyDescent="0.3">
      <c r="A151" s="14">
        <v>15300</v>
      </c>
      <c r="B151" s="15" t="s">
        <v>318</v>
      </c>
      <c r="C151" s="16">
        <v>221</v>
      </c>
      <c r="D151" s="15" t="s">
        <v>16</v>
      </c>
      <c r="E151" s="11">
        <v>46080</v>
      </c>
      <c r="F151" s="12"/>
    </row>
    <row r="152" spans="1:6" x14ac:dyDescent="0.3">
      <c r="A152" s="14">
        <v>15305</v>
      </c>
      <c r="B152" s="15" t="s">
        <v>319</v>
      </c>
      <c r="C152" s="16">
        <v>19000</v>
      </c>
      <c r="D152" s="9" t="s">
        <v>13</v>
      </c>
      <c r="E152" s="11">
        <v>46080</v>
      </c>
      <c r="F152" s="12"/>
    </row>
    <row r="153" spans="1:6" x14ac:dyDescent="0.3">
      <c r="A153" s="23">
        <v>15306</v>
      </c>
      <c r="B153" s="15" t="s">
        <v>320</v>
      </c>
      <c r="C153" s="24">
        <v>10000</v>
      </c>
      <c r="D153" s="9" t="s">
        <v>10</v>
      </c>
      <c r="E153" s="11">
        <v>46080</v>
      </c>
      <c r="F153" s="12" t="s">
        <v>321</v>
      </c>
    </row>
    <row r="154" spans="1:6" x14ac:dyDescent="0.3">
      <c r="A154" s="26">
        <v>15308</v>
      </c>
      <c r="B154" s="15" t="s">
        <v>322</v>
      </c>
      <c r="C154" s="29">
        <v>14390</v>
      </c>
      <c r="D154" s="9" t="s">
        <v>13</v>
      </c>
      <c r="E154" s="11">
        <v>46080</v>
      </c>
      <c r="F154" s="12"/>
    </row>
    <row r="155" spans="1:6" x14ac:dyDescent="0.3">
      <c r="A155" s="26"/>
      <c r="B155" s="15"/>
      <c r="C155" s="29"/>
      <c r="D155" s="15"/>
      <c r="E155" s="11"/>
      <c r="F155" s="12"/>
    </row>
    <row r="156" spans="1:6" x14ac:dyDescent="0.3">
      <c r="A156" s="14"/>
      <c r="B156" s="15"/>
      <c r="C156" s="16"/>
      <c r="D156" s="15"/>
      <c r="E156" s="17"/>
      <c r="F156" s="12"/>
    </row>
    <row r="157" spans="1:6" x14ac:dyDescent="0.3">
      <c r="A157" s="14"/>
      <c r="B157" s="15"/>
      <c r="C157" s="16"/>
      <c r="D157" s="15"/>
      <c r="E157" s="17"/>
      <c r="F157" s="12"/>
    </row>
    <row r="158" spans="1:6" x14ac:dyDescent="0.3">
      <c r="A158" s="14"/>
      <c r="B158" s="15"/>
      <c r="C158" s="16"/>
      <c r="D158" s="15"/>
      <c r="E158" s="17"/>
      <c r="F158" s="12"/>
    </row>
    <row r="159" spans="1:6" x14ac:dyDescent="0.3">
      <c r="A159" s="14"/>
      <c r="B159" s="15"/>
      <c r="C159" s="16"/>
      <c r="D159" s="15"/>
      <c r="E159" s="17"/>
      <c r="F159" s="12"/>
    </row>
    <row r="160" spans="1:6" x14ac:dyDescent="0.3">
      <c r="A160" s="14"/>
      <c r="B160" s="15"/>
      <c r="C160" s="16"/>
      <c r="D160" s="15"/>
      <c r="E160" s="17"/>
      <c r="F160" s="12"/>
    </row>
    <row r="161" spans="1:6" x14ac:dyDescent="0.3">
      <c r="A161" s="15"/>
      <c r="B161" s="15"/>
      <c r="C161" s="16"/>
      <c r="D161" s="9"/>
      <c r="E161" s="17"/>
      <c r="F161" s="12"/>
    </row>
    <row r="162" spans="1:6" x14ac:dyDescent="0.3">
      <c r="A162" s="14"/>
      <c r="B162" s="15"/>
      <c r="C162" s="16"/>
      <c r="D162" s="9"/>
      <c r="E162" s="17"/>
      <c r="F162" s="31"/>
    </row>
    <row r="163" spans="1:6" x14ac:dyDescent="0.3">
      <c r="A163" s="14"/>
      <c r="B163" s="15"/>
      <c r="C163" s="16"/>
      <c r="D163" s="9"/>
      <c r="E163" s="17"/>
      <c r="F163" s="12"/>
    </row>
    <row r="164" spans="1:6" x14ac:dyDescent="0.3">
      <c r="A164" s="14"/>
      <c r="B164" s="15"/>
      <c r="C164" s="16"/>
      <c r="D164" s="15"/>
      <c r="E164" s="17"/>
      <c r="F164" s="12"/>
    </row>
    <row r="165" spans="1:6" x14ac:dyDescent="0.3">
      <c r="A165" s="14"/>
      <c r="B165" s="15"/>
      <c r="C165" s="16"/>
      <c r="D165" s="9"/>
      <c r="E165" s="17"/>
      <c r="F165" s="12"/>
    </row>
    <row r="166" spans="1:6" x14ac:dyDescent="0.3">
      <c r="A166" s="14"/>
      <c r="B166" s="15"/>
      <c r="C166" s="16"/>
      <c r="D166" s="9"/>
      <c r="E166" s="17"/>
      <c r="F166" s="12"/>
    </row>
    <row r="167" spans="1:6" x14ac:dyDescent="0.3">
      <c r="A167" s="14"/>
      <c r="B167" s="15"/>
      <c r="C167" s="16"/>
      <c r="D167" s="15"/>
      <c r="E167" s="17"/>
      <c r="F167" s="12"/>
    </row>
    <row r="168" spans="1:6" x14ac:dyDescent="0.3">
      <c r="A168" s="14"/>
      <c r="B168" s="15"/>
      <c r="C168" s="16"/>
      <c r="D168" s="9"/>
      <c r="E168" s="17"/>
      <c r="F168" s="12"/>
    </row>
    <row r="169" spans="1:6" x14ac:dyDescent="0.3">
      <c r="A169" s="14"/>
      <c r="B169" s="15"/>
      <c r="C169" s="16"/>
      <c r="D169" s="9"/>
      <c r="E169" s="17"/>
      <c r="F169" s="12"/>
    </row>
    <row r="170" spans="1:6" x14ac:dyDescent="0.3">
      <c r="A170" s="14"/>
      <c r="B170" s="15"/>
      <c r="C170" s="16"/>
      <c r="D170" s="15"/>
      <c r="E170" s="17"/>
      <c r="F170" s="12"/>
    </row>
    <row r="171" spans="1:6" x14ac:dyDescent="0.3">
      <c r="A171" s="14"/>
      <c r="B171" s="15"/>
      <c r="C171" s="16"/>
      <c r="D171" s="9"/>
      <c r="E171" s="17"/>
      <c r="F171" s="12"/>
    </row>
    <row r="172" spans="1:6" x14ac:dyDescent="0.3">
      <c r="A172" s="14"/>
      <c r="B172" s="15"/>
      <c r="C172" s="16"/>
      <c r="D172" s="15"/>
      <c r="E172" s="17"/>
      <c r="F172" s="31"/>
    </row>
    <row r="173" spans="1:6" x14ac:dyDescent="0.3">
      <c r="A173" s="14"/>
      <c r="B173" s="15"/>
      <c r="C173" s="16"/>
      <c r="D173" s="9"/>
      <c r="E173" s="17"/>
      <c r="F173" s="12"/>
    </row>
    <row r="174" spans="1:6" x14ac:dyDescent="0.3">
      <c r="A174" s="14"/>
      <c r="B174" s="15"/>
      <c r="C174" s="16"/>
      <c r="D174" s="9"/>
      <c r="E174" s="17"/>
      <c r="F174" s="12"/>
    </row>
    <row r="175" spans="1:6" x14ac:dyDescent="0.3">
      <c r="A175" s="14"/>
      <c r="B175" s="15"/>
      <c r="C175" s="16"/>
      <c r="D175" s="15"/>
      <c r="E175" s="17"/>
      <c r="F175" s="12"/>
    </row>
    <row r="176" spans="1:6" x14ac:dyDescent="0.3">
      <c r="A176" s="14"/>
      <c r="B176" s="15"/>
      <c r="C176" s="16"/>
      <c r="D176" s="15"/>
      <c r="E176" s="17"/>
      <c r="F176" s="12"/>
    </row>
    <row r="177" spans="1:6" x14ac:dyDescent="0.3">
      <c r="A177" s="14"/>
      <c r="B177" s="15"/>
      <c r="C177" s="16"/>
      <c r="D177" s="15"/>
      <c r="E177" s="17"/>
      <c r="F177" s="12"/>
    </row>
    <row r="178" spans="1:6" x14ac:dyDescent="0.3">
      <c r="A178" s="14"/>
      <c r="B178" s="15"/>
      <c r="C178" s="16"/>
      <c r="D178" s="15"/>
      <c r="E178" s="17"/>
      <c r="F178" s="12"/>
    </row>
    <row r="179" spans="1:6" x14ac:dyDescent="0.3">
      <c r="A179" s="14"/>
      <c r="B179" s="15"/>
      <c r="C179" s="16"/>
      <c r="D179" s="15"/>
      <c r="E179" s="17"/>
      <c r="F179" s="12"/>
    </row>
    <row r="180" spans="1:6" x14ac:dyDescent="0.3">
      <c r="A180" s="14"/>
      <c r="B180" s="15"/>
      <c r="C180" s="16"/>
      <c r="D180" s="15"/>
      <c r="E180" s="17"/>
      <c r="F180" s="12"/>
    </row>
    <row r="181" spans="1:6" x14ac:dyDescent="0.3">
      <c r="A181" s="14"/>
      <c r="B181" s="15"/>
      <c r="C181" s="16"/>
      <c r="D181" s="15"/>
      <c r="E181" s="17"/>
      <c r="F181" s="12"/>
    </row>
    <row r="182" spans="1:6" x14ac:dyDescent="0.3">
      <c r="A182" s="14"/>
      <c r="B182" s="15"/>
      <c r="C182" s="16"/>
      <c r="D182" s="9"/>
      <c r="E182" s="17"/>
      <c r="F182" s="12"/>
    </row>
    <row r="183" spans="1:6" x14ac:dyDescent="0.3">
      <c r="A183" s="14"/>
      <c r="B183" s="15"/>
      <c r="C183" s="16"/>
      <c r="D183" s="15"/>
      <c r="E183" s="17"/>
      <c r="F183" s="12"/>
    </row>
    <row r="184" spans="1:6" x14ac:dyDescent="0.3">
      <c r="A184" s="14"/>
      <c r="B184" s="15"/>
      <c r="C184" s="16"/>
      <c r="D184" s="9"/>
      <c r="E184" s="17"/>
      <c r="F184" s="12"/>
    </row>
    <row r="185" spans="1:6" x14ac:dyDescent="0.3">
      <c r="A185" s="14"/>
      <c r="B185" s="15"/>
      <c r="C185" s="16"/>
      <c r="D185" s="15"/>
      <c r="E185" s="17"/>
      <c r="F185" s="12"/>
    </row>
    <row r="186" spans="1:6" x14ac:dyDescent="0.3">
      <c r="A186" s="14"/>
      <c r="B186" s="15"/>
      <c r="C186" s="16"/>
      <c r="D186" s="15"/>
      <c r="E186" s="17"/>
      <c r="F186" s="12"/>
    </row>
    <row r="187" spans="1:6" x14ac:dyDescent="0.3">
      <c r="A187" s="14"/>
      <c r="B187" s="15"/>
      <c r="C187" s="16"/>
      <c r="D187" s="15"/>
      <c r="E187" s="17"/>
      <c r="F187" s="12"/>
    </row>
    <row r="188" spans="1:6" x14ac:dyDescent="0.3">
      <c r="A188" s="14"/>
      <c r="B188" s="15"/>
      <c r="C188" s="16"/>
      <c r="D188" s="15"/>
      <c r="E188" s="17"/>
      <c r="F188" s="12"/>
    </row>
    <row r="189" spans="1:6" x14ac:dyDescent="0.3">
      <c r="A189" s="14"/>
      <c r="B189" s="15"/>
      <c r="C189" s="16"/>
      <c r="D189" s="15"/>
      <c r="E189" s="17"/>
      <c r="F189" s="12"/>
    </row>
    <row r="190" spans="1:6" x14ac:dyDescent="0.3">
      <c r="A190" s="14"/>
      <c r="B190" s="15"/>
      <c r="C190" s="16"/>
      <c r="D190" s="15"/>
      <c r="E190" s="17"/>
      <c r="F190" s="12"/>
    </row>
    <row r="191" spans="1:6" x14ac:dyDescent="0.3">
      <c r="A191" s="14"/>
      <c r="B191" s="15"/>
      <c r="C191" s="16"/>
      <c r="D191" s="15"/>
      <c r="E191" s="17"/>
      <c r="F191" s="12"/>
    </row>
    <row r="192" spans="1:6" x14ac:dyDescent="0.3">
      <c r="A192" s="14"/>
      <c r="B192" s="15"/>
      <c r="C192" s="16"/>
      <c r="D192" s="15"/>
      <c r="E192" s="17"/>
      <c r="F192" s="12"/>
    </row>
    <row r="193" spans="1:6" x14ac:dyDescent="0.3">
      <c r="A193" s="14"/>
      <c r="B193" s="15"/>
      <c r="C193" s="16"/>
      <c r="D193" s="15"/>
      <c r="E193" s="17"/>
      <c r="F193" s="12"/>
    </row>
    <row r="194" spans="1:6" x14ac:dyDescent="0.3">
      <c r="A194" s="14"/>
      <c r="B194" s="15"/>
      <c r="C194" s="16"/>
      <c r="D194" s="15"/>
      <c r="E194" s="17"/>
      <c r="F194" s="12"/>
    </row>
    <row r="195" spans="1:6" x14ac:dyDescent="0.3">
      <c r="A195" s="14"/>
      <c r="B195" s="15"/>
      <c r="C195" s="16"/>
      <c r="D195" s="15"/>
      <c r="E195" s="17"/>
      <c r="F195" s="12"/>
    </row>
    <row r="196" spans="1:6" x14ac:dyDescent="0.3">
      <c r="A196" s="14"/>
      <c r="B196" s="15"/>
      <c r="C196" s="16"/>
      <c r="D196" s="15"/>
      <c r="E196" s="17"/>
      <c r="F196" s="12"/>
    </row>
    <row r="197" spans="1:6" x14ac:dyDescent="0.3">
      <c r="A197" s="14"/>
      <c r="B197" s="15"/>
      <c r="C197" s="16"/>
      <c r="D197" s="15"/>
      <c r="E197" s="17"/>
      <c r="F197" s="12"/>
    </row>
    <row r="198" spans="1:6" x14ac:dyDescent="0.3">
      <c r="A198" s="14"/>
      <c r="B198" s="15"/>
      <c r="C198" s="16"/>
      <c r="D198" s="15"/>
      <c r="E198" s="17"/>
      <c r="F198" s="12"/>
    </row>
    <row r="199" spans="1:6" x14ac:dyDescent="0.3">
      <c r="A199" s="14"/>
      <c r="B199" s="15"/>
      <c r="C199" s="16"/>
      <c r="D199" s="15"/>
      <c r="E199" s="17"/>
      <c r="F199" s="12"/>
    </row>
    <row r="200" spans="1:6" x14ac:dyDescent="0.3">
      <c r="A200" s="14"/>
      <c r="B200" s="15"/>
      <c r="C200" s="16"/>
      <c r="D200" s="15"/>
      <c r="E200" s="17"/>
      <c r="F200" s="12"/>
    </row>
    <row r="201" spans="1:6" x14ac:dyDescent="0.3">
      <c r="A201" s="14"/>
      <c r="B201" s="15"/>
      <c r="C201" s="16"/>
      <c r="D201" s="15"/>
      <c r="E201" s="17"/>
      <c r="F201" s="12"/>
    </row>
    <row r="202" spans="1:6" x14ac:dyDescent="0.3">
      <c r="A202" s="14"/>
      <c r="B202" s="15"/>
      <c r="C202" s="16"/>
      <c r="D202" s="15"/>
      <c r="E202" s="17"/>
      <c r="F202" s="12"/>
    </row>
    <row r="203" spans="1:6" x14ac:dyDescent="0.3">
      <c r="A203" s="14"/>
      <c r="B203" s="15"/>
      <c r="C203" s="16"/>
      <c r="D203" s="15"/>
      <c r="E203" s="17"/>
      <c r="F203" s="12"/>
    </row>
    <row r="204" spans="1:6" x14ac:dyDescent="0.3">
      <c r="A204" s="14"/>
      <c r="B204" s="15"/>
      <c r="C204" s="16"/>
      <c r="D204" s="15"/>
      <c r="E204" s="17"/>
      <c r="F204" s="12"/>
    </row>
    <row r="205" spans="1:6" x14ac:dyDescent="0.3">
      <c r="A205" s="14"/>
      <c r="B205" s="15"/>
      <c r="C205" s="16"/>
      <c r="D205" s="15"/>
      <c r="E205" s="17"/>
      <c r="F205" s="12"/>
    </row>
    <row r="206" spans="1:6" x14ac:dyDescent="0.3">
      <c r="A206" s="14"/>
      <c r="B206" s="15"/>
      <c r="C206" s="16"/>
      <c r="D206" s="15"/>
      <c r="E206" s="17"/>
      <c r="F206" s="12"/>
    </row>
    <row r="207" spans="1:6" x14ac:dyDescent="0.3">
      <c r="A207" s="14"/>
      <c r="B207" s="15"/>
      <c r="C207" s="16"/>
      <c r="D207" s="15"/>
      <c r="E207" s="17"/>
      <c r="F207" s="12"/>
    </row>
    <row r="208" spans="1:6" x14ac:dyDescent="0.3">
      <c r="A208" s="14"/>
      <c r="B208" s="15"/>
      <c r="C208" s="16"/>
      <c r="D208" s="15"/>
      <c r="E208" s="17"/>
      <c r="F208" s="12"/>
    </row>
    <row r="209" spans="1:6" x14ac:dyDescent="0.3">
      <c r="A209" s="14"/>
      <c r="B209" s="15"/>
      <c r="C209" s="16"/>
      <c r="D209" s="15"/>
      <c r="E209" s="17"/>
      <c r="F209" s="12"/>
    </row>
    <row r="210" spans="1:6" x14ac:dyDescent="0.3">
      <c r="A210" s="14"/>
      <c r="B210" s="15"/>
      <c r="C210" s="16"/>
      <c r="D210" s="15"/>
      <c r="E210" s="17"/>
      <c r="F210" s="12"/>
    </row>
    <row r="211" spans="1:6" x14ac:dyDescent="0.3">
      <c r="A211" s="14"/>
      <c r="B211" s="15"/>
      <c r="C211" s="16"/>
      <c r="D211" s="15"/>
      <c r="E211" s="17"/>
      <c r="F211" s="12"/>
    </row>
    <row r="212" spans="1:6" x14ac:dyDescent="0.3">
      <c r="A212" s="14"/>
      <c r="B212" s="15"/>
      <c r="C212" s="16"/>
      <c r="D212" s="15"/>
      <c r="E212" s="17"/>
      <c r="F212" s="12"/>
    </row>
    <row r="213" spans="1:6" x14ac:dyDescent="0.3">
      <c r="A213" s="14"/>
      <c r="B213" s="15"/>
      <c r="C213" s="16"/>
      <c r="D213" s="15"/>
      <c r="E213" s="17"/>
      <c r="F213" s="12"/>
    </row>
    <row r="214" spans="1:6" x14ac:dyDescent="0.3">
      <c r="A214" s="14"/>
      <c r="B214" s="15"/>
      <c r="C214" s="16"/>
      <c r="D214" s="15"/>
      <c r="E214" s="17"/>
      <c r="F214" s="12"/>
    </row>
    <row r="215" spans="1:6" x14ac:dyDescent="0.3">
      <c r="A215" s="14"/>
      <c r="B215" s="15"/>
      <c r="C215" s="16"/>
      <c r="D215" s="15"/>
      <c r="E215" s="17"/>
      <c r="F215" s="12"/>
    </row>
    <row r="216" spans="1:6" x14ac:dyDescent="0.3">
      <c r="A216" s="14"/>
      <c r="B216" s="15"/>
      <c r="C216" s="16"/>
      <c r="D216" s="15"/>
      <c r="E216" s="17"/>
      <c r="F216" s="12"/>
    </row>
    <row r="217" spans="1:6" x14ac:dyDescent="0.3">
      <c r="A217" s="14"/>
      <c r="B217" s="15"/>
      <c r="C217" s="16"/>
      <c r="D217" s="15"/>
      <c r="E217" s="17"/>
      <c r="F217" s="12"/>
    </row>
    <row r="218" spans="1:6" x14ac:dyDescent="0.3">
      <c r="A218" s="14"/>
      <c r="B218" s="15"/>
      <c r="C218" s="16"/>
      <c r="D218" s="15"/>
      <c r="E218" s="17"/>
      <c r="F218" s="12"/>
    </row>
    <row r="219" spans="1:6" x14ac:dyDescent="0.3">
      <c r="A219" s="14"/>
      <c r="B219" s="15"/>
      <c r="C219" s="16"/>
      <c r="D219" s="15"/>
      <c r="E219" s="17"/>
      <c r="F219" s="12"/>
    </row>
    <row r="220" spans="1:6" x14ac:dyDescent="0.3">
      <c r="A220" s="14"/>
      <c r="B220" s="15"/>
      <c r="C220" s="16"/>
      <c r="D220" s="15"/>
      <c r="E220" s="17"/>
      <c r="F220" s="12"/>
    </row>
    <row r="221" spans="1:6" x14ac:dyDescent="0.3">
      <c r="A221" s="14"/>
      <c r="B221" s="15"/>
      <c r="C221" s="16"/>
      <c r="D221" s="15"/>
      <c r="E221" s="17"/>
      <c r="F221" s="12"/>
    </row>
    <row r="222" spans="1:6" x14ac:dyDescent="0.3">
      <c r="A222" s="14"/>
      <c r="B222" s="15"/>
      <c r="C222" s="16"/>
      <c r="D222" s="15"/>
      <c r="E222" s="17"/>
      <c r="F222" s="12"/>
    </row>
    <row r="223" spans="1:6" x14ac:dyDescent="0.3">
      <c r="A223" s="14"/>
      <c r="B223" s="15"/>
      <c r="C223" s="16"/>
      <c r="D223" s="15"/>
      <c r="E223" s="17"/>
      <c r="F223" s="12"/>
    </row>
    <row r="224" spans="1:6" x14ac:dyDescent="0.3">
      <c r="A224" s="14"/>
      <c r="B224" s="15"/>
      <c r="C224" s="16"/>
      <c r="D224" s="15"/>
      <c r="E224" s="17"/>
      <c r="F224" s="12"/>
    </row>
    <row r="225" spans="1:6" x14ac:dyDescent="0.3">
      <c r="A225" s="14"/>
      <c r="B225" s="15"/>
      <c r="C225" s="16"/>
      <c r="D225" s="15"/>
      <c r="E225" s="17"/>
      <c r="F225" s="12"/>
    </row>
    <row r="226" spans="1:6" x14ac:dyDescent="0.3">
      <c r="A226" s="14"/>
      <c r="B226" s="15"/>
      <c r="C226" s="16"/>
      <c r="D226" s="15"/>
      <c r="E226" s="17"/>
      <c r="F226" s="12"/>
    </row>
    <row r="227" spans="1:6" x14ac:dyDescent="0.3">
      <c r="A227" s="14"/>
      <c r="B227" s="15"/>
      <c r="C227" s="16"/>
      <c r="D227" s="15"/>
      <c r="E227" s="17"/>
      <c r="F227" s="12"/>
    </row>
    <row r="228" spans="1:6" x14ac:dyDescent="0.3">
      <c r="A228" s="14"/>
      <c r="B228" s="15"/>
      <c r="C228" s="16"/>
      <c r="D228" s="15"/>
      <c r="E228" s="17"/>
      <c r="F228" s="12"/>
    </row>
    <row r="229" spans="1:6" x14ac:dyDescent="0.3">
      <c r="A229" s="14"/>
      <c r="B229" s="15"/>
      <c r="C229" s="16"/>
      <c r="D229" s="15"/>
      <c r="E229" s="17"/>
      <c r="F229" s="12"/>
    </row>
    <row r="230" spans="1:6" x14ac:dyDescent="0.3">
      <c r="A230" s="14"/>
      <c r="B230" s="15"/>
      <c r="C230" s="16"/>
      <c r="D230" s="15"/>
      <c r="E230" s="17"/>
      <c r="F230" s="12"/>
    </row>
    <row r="231" spans="1:6" x14ac:dyDescent="0.3">
      <c r="A231" s="14"/>
      <c r="B231" s="15"/>
      <c r="C231" s="16"/>
      <c r="D231" s="15"/>
      <c r="E231" s="17"/>
      <c r="F231" s="12"/>
    </row>
    <row r="232" spans="1:6" x14ac:dyDescent="0.3">
      <c r="A232" s="14"/>
      <c r="B232" s="15"/>
      <c r="C232" s="16"/>
      <c r="D232" s="15"/>
      <c r="E232" s="17"/>
      <c r="F232" s="12"/>
    </row>
    <row r="233" spans="1:6" x14ac:dyDescent="0.3">
      <c r="A233" s="14"/>
      <c r="B233" s="15"/>
      <c r="C233" s="16"/>
      <c r="D233" s="15"/>
      <c r="E233" s="17"/>
      <c r="F233" s="12"/>
    </row>
    <row r="234" spans="1:6" x14ac:dyDescent="0.3">
      <c r="A234" s="14"/>
      <c r="B234" s="15"/>
      <c r="C234" s="16"/>
      <c r="D234" s="15"/>
      <c r="E234" s="17"/>
      <c r="F234" s="12"/>
    </row>
    <row r="235" spans="1:6" x14ac:dyDescent="0.3">
      <c r="A235" s="14"/>
      <c r="B235" s="15"/>
      <c r="C235" s="16"/>
      <c r="D235" s="15"/>
      <c r="E235" s="17"/>
      <c r="F235" s="12"/>
    </row>
    <row r="236" spans="1:6" x14ac:dyDescent="0.3">
      <c r="A236" s="14"/>
      <c r="B236" s="15"/>
      <c r="C236" s="16"/>
      <c r="D236" s="15"/>
      <c r="E236" s="17"/>
      <c r="F236" s="12"/>
    </row>
    <row r="237" spans="1:6" x14ac:dyDescent="0.3">
      <c r="A237" s="14"/>
      <c r="B237" s="15"/>
      <c r="C237" s="16"/>
      <c r="D237" s="15"/>
      <c r="E237" s="17"/>
      <c r="F237" s="12"/>
    </row>
    <row r="238" spans="1:6" x14ac:dyDescent="0.3">
      <c r="A238" s="14"/>
      <c r="B238" s="15"/>
      <c r="C238" s="16"/>
      <c r="D238" s="15"/>
      <c r="E238" s="17"/>
      <c r="F238" s="12"/>
    </row>
    <row r="239" spans="1:6" x14ac:dyDescent="0.3">
      <c r="A239" s="14"/>
      <c r="B239" s="15"/>
      <c r="C239" s="16"/>
      <c r="D239" s="15"/>
      <c r="E239" s="17"/>
      <c r="F239" s="12"/>
    </row>
    <row r="240" spans="1:6" x14ac:dyDescent="0.3">
      <c r="A240" s="14"/>
      <c r="B240" s="15"/>
      <c r="C240" s="16"/>
      <c r="D240" s="15"/>
      <c r="E240" s="17"/>
      <c r="F240" s="12"/>
    </row>
    <row r="241" spans="1:6" x14ac:dyDescent="0.3">
      <c r="A241" s="14"/>
      <c r="B241" s="15"/>
      <c r="C241" s="16"/>
      <c r="D241" s="15"/>
      <c r="E241" s="17"/>
      <c r="F241" s="12"/>
    </row>
    <row r="242" spans="1:6" x14ac:dyDescent="0.3">
      <c r="A242" s="14"/>
      <c r="B242" s="15"/>
      <c r="C242" s="16"/>
      <c r="D242" s="15"/>
      <c r="E242" s="17"/>
      <c r="F242" s="12"/>
    </row>
    <row r="243" spans="1:6" x14ac:dyDescent="0.3">
      <c r="A243" s="14"/>
      <c r="B243" s="15"/>
      <c r="C243" s="16"/>
      <c r="D243" s="15"/>
      <c r="E243" s="17"/>
      <c r="F243" s="12"/>
    </row>
    <row r="244" spans="1:6" x14ac:dyDescent="0.3">
      <c r="A244" s="14"/>
      <c r="B244" s="15"/>
      <c r="C244" s="16"/>
      <c r="D244" s="15"/>
      <c r="E244" s="17"/>
      <c r="F244" s="12"/>
    </row>
    <row r="245" spans="1:6" x14ac:dyDescent="0.3">
      <c r="A245" s="14"/>
      <c r="B245" s="15"/>
      <c r="C245" s="16"/>
      <c r="D245" s="15"/>
      <c r="E245" s="17"/>
      <c r="F245" s="12"/>
    </row>
    <row r="246" spans="1:6" x14ac:dyDescent="0.3">
      <c r="A246" s="14"/>
      <c r="B246" s="15"/>
      <c r="C246" s="16"/>
      <c r="D246" s="15"/>
      <c r="E246" s="17"/>
      <c r="F246" s="12"/>
    </row>
    <row r="247" spans="1:6" x14ac:dyDescent="0.3">
      <c r="A247" s="14"/>
      <c r="B247" s="15"/>
      <c r="C247" s="16"/>
      <c r="D247" s="15"/>
      <c r="E247" s="17"/>
      <c r="F247" s="12"/>
    </row>
    <row r="248" spans="1:6" x14ac:dyDescent="0.3">
      <c r="A248" s="14"/>
      <c r="B248" s="15"/>
      <c r="C248" s="16"/>
      <c r="D248" s="15"/>
      <c r="E248" s="17"/>
      <c r="F248" s="12"/>
    </row>
    <row r="249" spans="1:6" ht="15" thickBot="1" x14ac:dyDescent="0.35">
      <c r="A249" s="14"/>
      <c r="B249" s="15"/>
      <c r="C249" s="16"/>
      <c r="D249" s="15"/>
      <c r="E249" s="17"/>
      <c r="F249" s="12"/>
    </row>
    <row r="250" spans="1:6" ht="15" thickBot="1" x14ac:dyDescent="0.35">
      <c r="A250" s="138" t="s">
        <v>6</v>
      </c>
      <c r="B250" s="139"/>
      <c r="C250" s="18">
        <f>SUM(C2:C249)</f>
        <v>1311500.1800000002</v>
      </c>
      <c r="D250" s="19"/>
      <c r="E250" s="20"/>
      <c r="F250" s="3"/>
    </row>
    <row r="251" spans="1:6" ht="15" thickBot="1" x14ac:dyDescent="0.35">
      <c r="A251" s="138" t="s">
        <v>8</v>
      </c>
      <c r="B251" s="139"/>
      <c r="C251" s="18">
        <v>1729000</v>
      </c>
      <c r="D251" s="38">
        <v>1760000</v>
      </c>
      <c r="E251" s="18"/>
      <c r="F251" s="3"/>
    </row>
    <row r="252" spans="1:6" ht="15" thickBot="1" x14ac:dyDescent="0.35">
      <c r="A252" s="138" t="s">
        <v>7</v>
      </c>
      <c r="B252" s="139"/>
      <c r="C252" s="18">
        <f>C251-C250</f>
        <v>417499.81999999983</v>
      </c>
      <c r="D252" s="38">
        <f>D251-C250</f>
        <v>448499.81999999983</v>
      </c>
      <c r="E252" s="18"/>
      <c r="F252" s="3"/>
    </row>
  </sheetData>
  <autoFilter ref="A1:F244" xr:uid="{AFF50047-F45E-4826-B627-9667DEC3EC94}">
    <sortState xmlns:xlrd2="http://schemas.microsoft.com/office/spreadsheetml/2017/richdata2" ref="A2:F244">
      <sortCondition ref="E1:E244"/>
    </sortState>
  </autoFilter>
  <mergeCells count="3">
    <mergeCell ref="A250:B250"/>
    <mergeCell ref="A251:B251"/>
    <mergeCell ref="A252:B25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0047-F45E-4826-B627-9667DEC3EC94}">
  <dimension ref="A1:H251"/>
  <sheetViews>
    <sheetView zoomScaleNormal="100" workbookViewId="0">
      <pane ySplit="1" topLeftCell="A222" activePane="bottomLeft" state="frozen"/>
      <selection pane="bottomLeft" activeCell="C249" sqref="C249"/>
    </sheetView>
  </sheetViews>
  <sheetFormatPr defaultColWidth="9" defaultRowHeight="14.4" x14ac:dyDescent="0.3"/>
  <cols>
    <col min="1" max="1" width="18" bestFit="1" customWidth="1"/>
    <col min="2" max="2" width="31.44140625" customWidth="1"/>
    <col min="3" max="3" width="15.6640625" style="21" customWidth="1"/>
    <col min="4" max="4" width="19.33203125" customWidth="1"/>
    <col min="5" max="5" width="16.109375" style="22" customWidth="1"/>
    <col min="6" max="6" width="40" bestFit="1" customWidth="1"/>
    <col min="7" max="7" width="17.5546875" bestFit="1" customWidth="1"/>
    <col min="8" max="8" width="15.8867187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6" t="s">
        <v>14</v>
      </c>
      <c r="H1" s="37">
        <v>117050.3</v>
      </c>
    </row>
    <row r="2" spans="1:8" x14ac:dyDescent="0.3">
      <c r="A2" s="35">
        <v>14192</v>
      </c>
      <c r="B2" s="4" t="s">
        <v>9</v>
      </c>
      <c r="C2" s="5">
        <v>5029</v>
      </c>
      <c r="D2" s="4" t="s">
        <v>10</v>
      </c>
      <c r="E2" s="6">
        <v>46027</v>
      </c>
      <c r="F2" s="7"/>
    </row>
    <row r="3" spans="1:8" x14ac:dyDescent="0.3">
      <c r="A3" s="35">
        <v>14196</v>
      </c>
      <c r="B3" s="4" t="s">
        <v>11</v>
      </c>
      <c r="C3" s="5">
        <v>5029</v>
      </c>
      <c r="D3" s="4" t="s">
        <v>10</v>
      </c>
      <c r="E3" s="6">
        <v>46028</v>
      </c>
      <c r="F3" s="7"/>
    </row>
    <row r="4" spans="1:8" x14ac:dyDescent="0.3">
      <c r="A4" s="8">
        <v>14197</v>
      </c>
      <c r="B4" s="9" t="s">
        <v>12</v>
      </c>
      <c r="C4" s="10">
        <v>1409</v>
      </c>
      <c r="D4" s="4" t="s">
        <v>13</v>
      </c>
      <c r="E4" s="6">
        <v>46028</v>
      </c>
      <c r="F4" s="12"/>
    </row>
    <row r="5" spans="1:8" x14ac:dyDescent="0.3">
      <c r="A5" s="8">
        <v>14199</v>
      </c>
      <c r="B5" s="9" t="s">
        <v>15</v>
      </c>
      <c r="C5" s="10">
        <v>241</v>
      </c>
      <c r="D5" s="4" t="s">
        <v>16</v>
      </c>
      <c r="E5" s="6">
        <v>46028</v>
      </c>
      <c r="F5" s="12"/>
      <c r="H5" s="13"/>
    </row>
    <row r="6" spans="1:8" x14ac:dyDescent="0.3">
      <c r="A6" s="8">
        <v>14202</v>
      </c>
      <c r="B6" s="9" t="s">
        <v>17</v>
      </c>
      <c r="C6" s="10">
        <v>9903.57</v>
      </c>
      <c r="D6" s="9" t="s">
        <v>16</v>
      </c>
      <c r="E6" s="6">
        <v>46028</v>
      </c>
      <c r="F6" s="12"/>
      <c r="H6" s="13"/>
    </row>
    <row r="7" spans="1:8" x14ac:dyDescent="0.3">
      <c r="A7" s="8">
        <v>14203</v>
      </c>
      <c r="B7" s="9" t="s">
        <v>18</v>
      </c>
      <c r="C7" s="10">
        <v>1618</v>
      </c>
      <c r="D7" s="9" t="s">
        <v>16</v>
      </c>
      <c r="E7" s="6">
        <v>46028</v>
      </c>
      <c r="F7" s="12"/>
    </row>
    <row r="8" spans="1:8" x14ac:dyDescent="0.3">
      <c r="A8" s="8">
        <v>14205</v>
      </c>
      <c r="B8" s="9" t="s">
        <v>19</v>
      </c>
      <c r="C8" s="10">
        <v>408.9</v>
      </c>
      <c r="D8" s="9" t="s">
        <v>20</v>
      </c>
      <c r="E8" s="6">
        <v>46028</v>
      </c>
      <c r="F8" s="12"/>
    </row>
    <row r="9" spans="1:8" x14ac:dyDescent="0.3">
      <c r="A9" s="8">
        <v>14207</v>
      </c>
      <c r="B9" s="9" t="s">
        <v>21</v>
      </c>
      <c r="C9" s="10">
        <v>10900</v>
      </c>
      <c r="D9" s="9" t="s">
        <v>20</v>
      </c>
      <c r="E9" s="6">
        <v>46028</v>
      </c>
      <c r="F9" s="12"/>
    </row>
    <row r="10" spans="1:8" x14ac:dyDescent="0.3">
      <c r="A10" s="8">
        <v>14217</v>
      </c>
      <c r="B10" s="9" t="s">
        <v>22</v>
      </c>
      <c r="C10" s="10">
        <v>55600</v>
      </c>
      <c r="D10" s="4" t="s">
        <v>16</v>
      </c>
      <c r="E10" s="6">
        <v>46029</v>
      </c>
      <c r="F10" s="12"/>
    </row>
    <row r="11" spans="1:8" x14ac:dyDescent="0.3">
      <c r="A11" s="8">
        <v>14219</v>
      </c>
      <c r="B11" s="9" t="s">
        <v>23</v>
      </c>
      <c r="C11" s="10">
        <v>10329.5</v>
      </c>
      <c r="D11" s="4" t="s">
        <v>16</v>
      </c>
      <c r="E11" s="6">
        <v>46029</v>
      </c>
      <c r="F11" s="12"/>
    </row>
    <row r="12" spans="1:8" x14ac:dyDescent="0.3">
      <c r="A12" s="8">
        <v>14223</v>
      </c>
      <c r="B12" s="9" t="s">
        <v>24</v>
      </c>
      <c r="C12" s="10">
        <v>49</v>
      </c>
      <c r="D12" s="4" t="s">
        <v>25</v>
      </c>
      <c r="E12" s="6">
        <v>46029</v>
      </c>
      <c r="F12" s="12"/>
    </row>
    <row r="13" spans="1:8" x14ac:dyDescent="0.3">
      <c r="A13" s="8">
        <v>14224</v>
      </c>
      <c r="B13" s="9" t="s">
        <v>26</v>
      </c>
      <c r="C13" s="10">
        <v>490</v>
      </c>
      <c r="D13" s="9" t="s">
        <v>25</v>
      </c>
      <c r="E13" s="6">
        <v>46029</v>
      </c>
      <c r="F13" s="12"/>
    </row>
    <row r="14" spans="1:8" x14ac:dyDescent="0.3">
      <c r="A14" s="8">
        <v>14227</v>
      </c>
      <c r="B14" s="9" t="s">
        <v>27</v>
      </c>
      <c r="C14" s="10">
        <v>5900</v>
      </c>
      <c r="D14" s="4" t="s">
        <v>13</v>
      </c>
      <c r="E14" s="6">
        <v>46029</v>
      </c>
      <c r="F14" s="12"/>
    </row>
    <row r="15" spans="1:8" x14ac:dyDescent="0.3">
      <c r="A15" s="8">
        <v>14228</v>
      </c>
      <c r="B15" s="9" t="s">
        <v>28</v>
      </c>
      <c r="C15" s="10">
        <v>987.25</v>
      </c>
      <c r="D15" s="9" t="s">
        <v>16</v>
      </c>
      <c r="E15" s="6">
        <v>46029</v>
      </c>
      <c r="F15" s="12"/>
    </row>
    <row r="16" spans="1:8" x14ac:dyDescent="0.3">
      <c r="A16" s="8">
        <v>14232</v>
      </c>
      <c r="B16" s="9" t="s">
        <v>29</v>
      </c>
      <c r="C16" s="10">
        <v>10329.5</v>
      </c>
      <c r="D16" s="4" t="s">
        <v>16</v>
      </c>
      <c r="E16" s="6">
        <v>46029</v>
      </c>
      <c r="F16" s="12"/>
    </row>
    <row r="17" spans="1:6" x14ac:dyDescent="0.3">
      <c r="A17" s="8">
        <v>14236</v>
      </c>
      <c r="B17" s="9" t="s">
        <v>30</v>
      </c>
      <c r="C17" s="10">
        <v>5490</v>
      </c>
      <c r="D17" s="4" t="s">
        <v>25</v>
      </c>
      <c r="E17" s="6">
        <v>46030</v>
      </c>
      <c r="F17" s="12"/>
    </row>
    <row r="18" spans="1:6" x14ac:dyDescent="0.3">
      <c r="A18" s="8">
        <v>14262</v>
      </c>
      <c r="B18" s="9" t="s">
        <v>31</v>
      </c>
      <c r="C18" s="10">
        <v>1346.15</v>
      </c>
      <c r="D18" s="4" t="s">
        <v>10</v>
      </c>
      <c r="E18" s="6">
        <v>46030</v>
      </c>
      <c r="F18" s="12"/>
    </row>
    <row r="19" spans="1:6" x14ac:dyDescent="0.3">
      <c r="A19" s="8">
        <v>14242</v>
      </c>
      <c r="B19" s="9" t="s">
        <v>32</v>
      </c>
      <c r="C19" s="10">
        <v>5976</v>
      </c>
      <c r="D19" s="9" t="s">
        <v>13</v>
      </c>
      <c r="E19" s="6">
        <v>46030</v>
      </c>
      <c r="F19" s="12"/>
    </row>
    <row r="20" spans="1:6" x14ac:dyDescent="0.3">
      <c r="A20" s="8">
        <v>14248</v>
      </c>
      <c r="B20" s="9" t="s">
        <v>33</v>
      </c>
      <c r="C20" s="10">
        <v>5029</v>
      </c>
      <c r="D20" s="9" t="s">
        <v>16</v>
      </c>
      <c r="E20" s="6">
        <v>46030</v>
      </c>
      <c r="F20" s="12"/>
    </row>
    <row r="21" spans="1:6" x14ac:dyDescent="0.3">
      <c r="A21" s="8">
        <v>14254</v>
      </c>
      <c r="B21" s="9" t="s">
        <v>34</v>
      </c>
      <c r="C21" s="10">
        <v>24550.5</v>
      </c>
      <c r="D21" s="9" t="s">
        <v>13</v>
      </c>
      <c r="E21" s="6">
        <v>46031</v>
      </c>
      <c r="F21" s="12" t="s">
        <v>35</v>
      </c>
    </row>
    <row r="22" spans="1:6" x14ac:dyDescent="0.3">
      <c r="A22" s="8">
        <v>14256</v>
      </c>
      <c r="B22" s="9" t="s">
        <v>36</v>
      </c>
      <c r="C22" s="10">
        <v>19900</v>
      </c>
      <c r="D22" s="9" t="s">
        <v>16</v>
      </c>
      <c r="E22" s="6">
        <v>46031</v>
      </c>
      <c r="F22" s="12"/>
    </row>
    <row r="23" spans="1:6" x14ac:dyDescent="0.3">
      <c r="A23" s="8">
        <v>14255</v>
      </c>
      <c r="B23" s="9" t="s">
        <v>37</v>
      </c>
      <c r="C23" s="10">
        <v>209</v>
      </c>
      <c r="D23" s="9" t="s">
        <v>25</v>
      </c>
      <c r="E23" s="6">
        <v>46031</v>
      </c>
      <c r="F23" s="12"/>
    </row>
    <row r="24" spans="1:6" x14ac:dyDescent="0.3">
      <c r="A24" s="8">
        <v>14264</v>
      </c>
      <c r="B24" s="9" t="s">
        <v>38</v>
      </c>
      <c r="C24" s="10">
        <v>5029</v>
      </c>
      <c r="D24" s="9" t="s">
        <v>10</v>
      </c>
      <c r="E24" s="6">
        <v>46031</v>
      </c>
      <c r="F24" s="12" t="s">
        <v>41</v>
      </c>
    </row>
    <row r="25" spans="1:6" x14ac:dyDescent="0.3">
      <c r="A25" s="8">
        <v>14265</v>
      </c>
      <c r="B25" s="9" t="s">
        <v>39</v>
      </c>
      <c r="C25" s="10">
        <v>17900</v>
      </c>
      <c r="D25" s="9" t="s">
        <v>16</v>
      </c>
      <c r="E25" s="6">
        <v>46031</v>
      </c>
      <c r="F25" s="12"/>
    </row>
    <row r="26" spans="1:6" x14ac:dyDescent="0.3">
      <c r="A26" s="8">
        <v>14267</v>
      </c>
      <c r="B26" s="9" t="s">
        <v>40</v>
      </c>
      <c r="C26" s="10">
        <v>15000</v>
      </c>
      <c r="D26" s="9" t="s">
        <v>10</v>
      </c>
      <c r="E26" s="6">
        <v>46031</v>
      </c>
      <c r="F26" s="12"/>
    </row>
    <row r="27" spans="1:6" x14ac:dyDescent="0.3">
      <c r="A27" s="8">
        <v>14277</v>
      </c>
      <c r="B27" s="9" t="s">
        <v>42</v>
      </c>
      <c r="C27" s="10">
        <v>209</v>
      </c>
      <c r="D27" s="9" t="s">
        <v>25</v>
      </c>
      <c r="E27" s="6">
        <v>46034</v>
      </c>
      <c r="F27" s="12"/>
    </row>
    <row r="28" spans="1:6" x14ac:dyDescent="0.3">
      <c r="A28" s="8">
        <v>14280</v>
      </c>
      <c r="B28" s="9" t="s">
        <v>43</v>
      </c>
      <c r="C28" s="10">
        <v>1090.5</v>
      </c>
      <c r="D28" s="9" t="s">
        <v>20</v>
      </c>
      <c r="E28" s="6">
        <v>46034</v>
      </c>
      <c r="F28" s="12"/>
    </row>
    <row r="29" spans="1:6" x14ac:dyDescent="0.3">
      <c r="A29" s="8">
        <v>14281</v>
      </c>
      <c r="B29" s="9" t="s">
        <v>44</v>
      </c>
      <c r="C29" s="10">
        <v>2690</v>
      </c>
      <c r="D29" s="4" t="s">
        <v>10</v>
      </c>
      <c r="E29" s="6">
        <v>46034</v>
      </c>
      <c r="F29" s="12"/>
    </row>
    <row r="30" spans="1:6" x14ac:dyDescent="0.3">
      <c r="A30" s="8">
        <v>14285</v>
      </c>
      <c r="B30" s="9" t="s">
        <v>45</v>
      </c>
      <c r="C30" s="10">
        <v>9000</v>
      </c>
      <c r="D30" s="4" t="s">
        <v>16</v>
      </c>
      <c r="E30" s="6">
        <v>46034</v>
      </c>
      <c r="F30" s="12"/>
    </row>
    <row r="31" spans="1:6" x14ac:dyDescent="0.3">
      <c r="A31" s="8">
        <v>14292</v>
      </c>
      <c r="B31" s="9" t="s">
        <v>46</v>
      </c>
      <c r="C31" s="10">
        <v>19900</v>
      </c>
      <c r="D31" s="9" t="s">
        <v>13</v>
      </c>
      <c r="E31" s="6">
        <v>46034</v>
      </c>
      <c r="F31" s="12"/>
    </row>
    <row r="32" spans="1:6" x14ac:dyDescent="0.3">
      <c r="A32" s="8">
        <v>14303</v>
      </c>
      <c r="B32" s="9" t="s">
        <v>47</v>
      </c>
      <c r="C32" s="10">
        <v>257</v>
      </c>
      <c r="D32" s="4" t="s">
        <v>10</v>
      </c>
      <c r="E32" s="6">
        <v>46034</v>
      </c>
      <c r="F32" s="12"/>
    </row>
    <row r="33" spans="1:6" x14ac:dyDescent="0.3">
      <c r="A33" s="8">
        <v>14306</v>
      </c>
      <c r="B33" s="9" t="s">
        <v>48</v>
      </c>
      <c r="C33" s="10">
        <v>10970</v>
      </c>
      <c r="D33" s="9" t="s">
        <v>13</v>
      </c>
      <c r="E33" s="6">
        <v>46035</v>
      </c>
      <c r="F33" s="12"/>
    </row>
    <row r="34" spans="1:6" x14ac:dyDescent="0.3">
      <c r="A34" s="8">
        <v>14307</v>
      </c>
      <c r="B34" s="9" t="s">
        <v>49</v>
      </c>
      <c r="C34" s="10">
        <v>69</v>
      </c>
      <c r="D34" s="9" t="s">
        <v>25</v>
      </c>
      <c r="E34" s="6">
        <v>46035</v>
      </c>
      <c r="F34" s="12"/>
    </row>
    <row r="35" spans="1:6" x14ac:dyDescent="0.3">
      <c r="A35" s="8">
        <v>14311</v>
      </c>
      <c r="B35" s="9" t="s">
        <v>31</v>
      </c>
      <c r="C35" s="10">
        <v>330.6</v>
      </c>
      <c r="D35" s="4" t="s">
        <v>10</v>
      </c>
      <c r="E35" s="6">
        <v>46035</v>
      </c>
      <c r="F35" s="12"/>
    </row>
    <row r="36" spans="1:6" x14ac:dyDescent="0.3">
      <c r="A36" s="8">
        <v>14313</v>
      </c>
      <c r="B36" s="9" t="s">
        <v>51</v>
      </c>
      <c r="C36" s="10">
        <v>900</v>
      </c>
      <c r="D36" s="9" t="s">
        <v>50</v>
      </c>
      <c r="E36" s="6">
        <v>46035</v>
      </c>
      <c r="F36" s="12"/>
    </row>
    <row r="37" spans="1:6" x14ac:dyDescent="0.3">
      <c r="A37" s="8">
        <v>14314</v>
      </c>
      <c r="B37" s="9" t="s">
        <v>52</v>
      </c>
      <c r="C37" s="10">
        <v>6890</v>
      </c>
      <c r="D37" s="4" t="s">
        <v>10</v>
      </c>
      <c r="E37" s="6">
        <v>46035</v>
      </c>
      <c r="F37" s="12"/>
    </row>
    <row r="38" spans="1:6" x14ac:dyDescent="0.3">
      <c r="A38" s="8">
        <v>14327</v>
      </c>
      <c r="B38" s="9" t="s">
        <v>53</v>
      </c>
      <c r="C38" s="10">
        <v>990</v>
      </c>
      <c r="D38" s="9" t="s">
        <v>16</v>
      </c>
      <c r="E38" s="6">
        <v>46036</v>
      </c>
      <c r="F38" s="12"/>
    </row>
    <row r="39" spans="1:6" x14ac:dyDescent="0.3">
      <c r="A39" s="8">
        <v>14328</v>
      </c>
      <c r="B39" s="9" t="s">
        <v>54</v>
      </c>
      <c r="C39" s="10">
        <v>12900</v>
      </c>
      <c r="D39" s="9" t="s">
        <v>13</v>
      </c>
      <c r="E39" s="6">
        <v>46036</v>
      </c>
      <c r="F39" s="12"/>
    </row>
    <row r="40" spans="1:6" x14ac:dyDescent="0.3">
      <c r="A40" s="8">
        <v>14336</v>
      </c>
      <c r="B40" s="9" t="s">
        <v>55</v>
      </c>
      <c r="C40" s="10">
        <v>10649</v>
      </c>
      <c r="D40" s="4" t="s">
        <v>16</v>
      </c>
      <c r="E40" s="6">
        <v>46036</v>
      </c>
      <c r="F40" s="12"/>
    </row>
    <row r="41" spans="1:6" x14ac:dyDescent="0.3">
      <c r="A41" s="8">
        <v>14337</v>
      </c>
      <c r="B41" s="9" t="s">
        <v>56</v>
      </c>
      <c r="C41" s="10">
        <v>9980</v>
      </c>
      <c r="D41" s="4" t="s">
        <v>16</v>
      </c>
      <c r="E41" s="6">
        <v>46036</v>
      </c>
      <c r="F41" s="12"/>
    </row>
    <row r="42" spans="1:6" x14ac:dyDescent="0.3">
      <c r="A42" s="8">
        <v>14338</v>
      </c>
      <c r="B42" s="9" t="s">
        <v>57</v>
      </c>
      <c r="C42" s="10">
        <v>29900</v>
      </c>
      <c r="D42" s="9" t="s">
        <v>13</v>
      </c>
      <c r="E42" s="6">
        <v>46036</v>
      </c>
      <c r="F42" s="12" t="s">
        <v>58</v>
      </c>
    </row>
    <row r="43" spans="1:6" x14ac:dyDescent="0.3">
      <c r="A43" s="8">
        <v>14331</v>
      </c>
      <c r="B43" s="9" t="s">
        <v>59</v>
      </c>
      <c r="C43" s="10">
        <v>915.8</v>
      </c>
      <c r="D43" s="4" t="s">
        <v>10</v>
      </c>
      <c r="E43" s="6">
        <v>46036</v>
      </c>
      <c r="F43" s="12"/>
    </row>
    <row r="44" spans="1:6" x14ac:dyDescent="0.3">
      <c r="A44" s="8">
        <v>14357</v>
      </c>
      <c r="B44" s="9" t="s">
        <v>59</v>
      </c>
      <c r="C44" s="10">
        <v>282.14999999999998</v>
      </c>
      <c r="D44" s="4" t="s">
        <v>10</v>
      </c>
      <c r="E44" s="6">
        <v>46037</v>
      </c>
      <c r="F44" s="12"/>
    </row>
    <row r="45" spans="1:6" x14ac:dyDescent="0.3">
      <c r="A45" s="8">
        <v>14360</v>
      </c>
      <c r="B45" s="9" t="s">
        <v>60</v>
      </c>
      <c r="C45" s="10">
        <v>29900</v>
      </c>
      <c r="D45" s="9" t="s">
        <v>16</v>
      </c>
      <c r="E45" s="11">
        <v>46037</v>
      </c>
      <c r="F45" s="12"/>
    </row>
    <row r="46" spans="1:6" x14ac:dyDescent="0.3">
      <c r="A46" s="8">
        <v>14340</v>
      </c>
      <c r="B46" s="9" t="s">
        <v>61</v>
      </c>
      <c r="C46" s="10">
        <v>209</v>
      </c>
      <c r="D46" s="4" t="s">
        <v>25</v>
      </c>
      <c r="E46" s="6">
        <v>46037</v>
      </c>
      <c r="F46" s="12"/>
    </row>
    <row r="47" spans="1:6" x14ac:dyDescent="0.3">
      <c r="A47" s="8">
        <v>14351</v>
      </c>
      <c r="B47" s="9" t="s">
        <v>62</v>
      </c>
      <c r="C47" s="10">
        <v>69</v>
      </c>
      <c r="D47" s="9" t="s">
        <v>25</v>
      </c>
      <c r="E47" s="11">
        <v>46037</v>
      </c>
      <c r="F47" s="12"/>
    </row>
    <row r="48" spans="1:6" x14ac:dyDescent="0.3">
      <c r="A48" s="8">
        <v>14352</v>
      </c>
      <c r="B48" s="9" t="s">
        <v>63</v>
      </c>
      <c r="C48" s="10">
        <v>69</v>
      </c>
      <c r="D48" s="9" t="s">
        <v>25</v>
      </c>
      <c r="E48" s="6">
        <v>46037</v>
      </c>
      <c r="F48" s="12"/>
    </row>
    <row r="49" spans="1:6" x14ac:dyDescent="0.3">
      <c r="A49" s="8">
        <v>14353</v>
      </c>
      <c r="B49" s="9" t="s">
        <v>64</v>
      </c>
      <c r="C49" s="10">
        <v>145</v>
      </c>
      <c r="D49" s="9" t="s">
        <v>25</v>
      </c>
      <c r="E49" s="11">
        <v>46037</v>
      </c>
      <c r="F49" s="12"/>
    </row>
    <row r="50" spans="1:6" x14ac:dyDescent="0.3">
      <c r="A50" s="8">
        <v>14354</v>
      </c>
      <c r="B50" s="9" t="s">
        <v>63</v>
      </c>
      <c r="C50" s="10">
        <v>69</v>
      </c>
      <c r="D50" s="4" t="s">
        <v>25</v>
      </c>
      <c r="E50" s="6">
        <v>46037</v>
      </c>
      <c r="F50" s="12"/>
    </row>
    <row r="51" spans="1:6" x14ac:dyDescent="0.3">
      <c r="A51" s="8">
        <v>14355</v>
      </c>
      <c r="B51" s="9" t="s">
        <v>65</v>
      </c>
      <c r="C51" s="10">
        <v>690</v>
      </c>
      <c r="D51" s="9" t="s">
        <v>25</v>
      </c>
      <c r="E51" s="6">
        <v>46037</v>
      </c>
      <c r="F51" s="12"/>
    </row>
    <row r="52" spans="1:6" x14ac:dyDescent="0.3">
      <c r="A52" s="8">
        <v>14370</v>
      </c>
      <c r="B52" s="9" t="s">
        <v>66</v>
      </c>
      <c r="C52" s="10">
        <v>135383.74</v>
      </c>
      <c r="D52" s="9" t="s">
        <v>13</v>
      </c>
      <c r="E52" s="6">
        <v>46037</v>
      </c>
      <c r="F52" s="12" t="s">
        <v>35</v>
      </c>
    </row>
    <row r="53" spans="1:6" x14ac:dyDescent="0.3">
      <c r="A53" s="8">
        <v>14372</v>
      </c>
      <c r="B53" s="9" t="s">
        <v>67</v>
      </c>
      <c r="C53" s="10">
        <v>15933</v>
      </c>
      <c r="D53" s="9" t="s">
        <v>16</v>
      </c>
      <c r="E53" s="11">
        <v>46037</v>
      </c>
      <c r="F53" s="12"/>
    </row>
    <row r="54" spans="1:6" x14ac:dyDescent="0.3">
      <c r="A54" s="8">
        <v>14377</v>
      </c>
      <c r="B54" s="9" t="s">
        <v>68</v>
      </c>
      <c r="C54" s="10">
        <v>5900</v>
      </c>
      <c r="D54" s="4" t="s">
        <v>20</v>
      </c>
      <c r="E54" s="6">
        <v>46037</v>
      </c>
      <c r="F54" s="12"/>
    </row>
    <row r="55" spans="1:6" x14ac:dyDescent="0.3">
      <c r="A55" s="8">
        <v>14380</v>
      </c>
      <c r="B55" s="10" t="s">
        <v>69</v>
      </c>
      <c r="C55" s="10">
        <v>29000</v>
      </c>
      <c r="D55" s="4" t="s">
        <v>10</v>
      </c>
      <c r="E55" s="6">
        <v>46037</v>
      </c>
      <c r="F55" s="12"/>
    </row>
    <row r="56" spans="1:6" x14ac:dyDescent="0.3">
      <c r="A56" s="8">
        <v>14381</v>
      </c>
      <c r="B56" s="9" t="s">
        <v>70</v>
      </c>
      <c r="C56" s="10">
        <v>97</v>
      </c>
      <c r="D56" s="4" t="s">
        <v>16</v>
      </c>
      <c r="E56" s="11">
        <v>45673</v>
      </c>
      <c r="F56" s="12"/>
    </row>
    <row r="57" spans="1:6" x14ac:dyDescent="0.3">
      <c r="A57" s="8">
        <v>14385</v>
      </c>
      <c r="B57" s="9" t="s">
        <v>71</v>
      </c>
      <c r="C57" s="10">
        <v>5680</v>
      </c>
      <c r="D57" s="9" t="s">
        <v>13</v>
      </c>
      <c r="E57" s="11">
        <v>45673</v>
      </c>
      <c r="F57" s="12"/>
    </row>
    <row r="58" spans="1:6" x14ac:dyDescent="0.3">
      <c r="A58" s="8">
        <v>14387</v>
      </c>
      <c r="B58" s="9" t="s">
        <v>72</v>
      </c>
      <c r="C58" s="10">
        <v>7890</v>
      </c>
      <c r="D58" s="9" t="s">
        <v>16</v>
      </c>
      <c r="E58" s="11">
        <v>45673</v>
      </c>
      <c r="F58" s="12"/>
    </row>
    <row r="59" spans="1:6" x14ac:dyDescent="0.3">
      <c r="A59" s="8">
        <v>14383</v>
      </c>
      <c r="B59" s="9" t="s">
        <v>73</v>
      </c>
      <c r="C59" s="10">
        <v>99</v>
      </c>
      <c r="D59" s="9" t="s">
        <v>25</v>
      </c>
      <c r="E59" s="11">
        <v>45673</v>
      </c>
      <c r="F59" s="12"/>
    </row>
    <row r="60" spans="1:6" x14ac:dyDescent="0.3">
      <c r="A60" s="8">
        <v>14384</v>
      </c>
      <c r="B60" s="9" t="s">
        <v>74</v>
      </c>
      <c r="C60" s="10">
        <v>69</v>
      </c>
      <c r="D60" s="4" t="s">
        <v>25</v>
      </c>
      <c r="E60" s="11">
        <v>45673</v>
      </c>
      <c r="F60" s="12"/>
    </row>
    <row r="61" spans="1:6" x14ac:dyDescent="0.3">
      <c r="A61" s="8">
        <v>14388</v>
      </c>
      <c r="B61" s="9" t="s">
        <v>75</v>
      </c>
      <c r="C61" s="10">
        <v>5600</v>
      </c>
      <c r="D61" s="9" t="s">
        <v>13</v>
      </c>
      <c r="E61" s="11">
        <v>45673</v>
      </c>
      <c r="F61" s="12"/>
    </row>
    <row r="62" spans="1:6" x14ac:dyDescent="0.3">
      <c r="A62" s="8">
        <v>14391</v>
      </c>
      <c r="B62" s="9" t="s">
        <v>76</v>
      </c>
      <c r="C62" s="10">
        <v>23400</v>
      </c>
      <c r="D62" s="4" t="s">
        <v>10</v>
      </c>
      <c r="E62" s="6">
        <v>46038</v>
      </c>
      <c r="F62" s="12"/>
    </row>
    <row r="63" spans="1:6" x14ac:dyDescent="0.3">
      <c r="A63" s="8">
        <v>14400</v>
      </c>
      <c r="B63" s="9" t="s">
        <v>77</v>
      </c>
      <c r="C63" s="10">
        <v>16900</v>
      </c>
      <c r="D63" s="4" t="s">
        <v>10</v>
      </c>
      <c r="E63" s="6">
        <v>46041</v>
      </c>
      <c r="F63" s="12" t="s">
        <v>78</v>
      </c>
    </row>
    <row r="64" spans="1:6" x14ac:dyDescent="0.3">
      <c r="A64" s="8">
        <v>14410</v>
      </c>
      <c r="B64" s="9" t="s">
        <v>79</v>
      </c>
      <c r="C64" s="10">
        <v>4990</v>
      </c>
      <c r="D64" s="4" t="s">
        <v>10</v>
      </c>
      <c r="E64" s="6">
        <v>46041</v>
      </c>
      <c r="F64" s="12"/>
    </row>
    <row r="65" spans="1:8" x14ac:dyDescent="0.3">
      <c r="A65" s="8">
        <v>14415</v>
      </c>
      <c r="B65" s="9" t="s">
        <v>80</v>
      </c>
      <c r="C65" s="10">
        <v>16468</v>
      </c>
      <c r="D65" s="4" t="s">
        <v>16</v>
      </c>
      <c r="E65" s="6">
        <v>46041</v>
      </c>
      <c r="F65" s="12"/>
    </row>
    <row r="66" spans="1:8" x14ac:dyDescent="0.3">
      <c r="A66" s="8">
        <v>14397</v>
      </c>
      <c r="B66" s="9" t="s">
        <v>81</v>
      </c>
      <c r="C66" s="10">
        <v>49</v>
      </c>
      <c r="D66" s="9" t="s">
        <v>25</v>
      </c>
      <c r="E66" s="6">
        <v>46041</v>
      </c>
      <c r="F66" s="12"/>
      <c r="H66" s="13"/>
    </row>
    <row r="67" spans="1:8" x14ac:dyDescent="0.3">
      <c r="A67" s="8">
        <v>14417</v>
      </c>
      <c r="B67" s="9" t="s">
        <v>82</v>
      </c>
      <c r="C67" s="10">
        <v>10900</v>
      </c>
      <c r="D67" s="9" t="s">
        <v>13</v>
      </c>
      <c r="E67" s="6">
        <v>46041</v>
      </c>
      <c r="F67" s="12"/>
    </row>
    <row r="68" spans="1:8" x14ac:dyDescent="0.3">
      <c r="A68" s="8">
        <v>14574</v>
      </c>
      <c r="B68" s="9" t="s">
        <v>83</v>
      </c>
      <c r="C68" s="10">
        <v>517.5</v>
      </c>
      <c r="D68" s="9" t="s">
        <v>16</v>
      </c>
      <c r="E68" s="6">
        <v>46041</v>
      </c>
      <c r="F68" s="12"/>
    </row>
    <row r="69" spans="1:8" x14ac:dyDescent="0.3">
      <c r="A69" s="8">
        <v>14421</v>
      </c>
      <c r="B69" s="9" t="s">
        <v>84</v>
      </c>
      <c r="C69" s="10">
        <v>1176</v>
      </c>
      <c r="D69" s="4" t="s">
        <v>10</v>
      </c>
      <c r="E69" s="6">
        <v>46042</v>
      </c>
      <c r="F69" s="12"/>
    </row>
    <row r="70" spans="1:8" x14ac:dyDescent="0.3">
      <c r="A70" s="8">
        <v>14422</v>
      </c>
      <c r="B70" s="9" t="s">
        <v>85</v>
      </c>
      <c r="C70" s="10">
        <v>17500</v>
      </c>
      <c r="D70" s="9" t="s">
        <v>16</v>
      </c>
      <c r="E70" s="11">
        <v>45677</v>
      </c>
      <c r="F70" s="12"/>
    </row>
    <row r="71" spans="1:8" x14ac:dyDescent="0.3">
      <c r="A71" s="8">
        <v>14432</v>
      </c>
      <c r="B71" s="9" t="s">
        <v>86</v>
      </c>
      <c r="C71" s="10">
        <v>122.55</v>
      </c>
      <c r="D71" s="4" t="s">
        <v>10</v>
      </c>
      <c r="E71" s="6">
        <v>46042</v>
      </c>
      <c r="F71" s="12"/>
    </row>
    <row r="72" spans="1:8" x14ac:dyDescent="0.3">
      <c r="A72" s="8">
        <v>14433</v>
      </c>
      <c r="B72" s="9" t="s">
        <v>87</v>
      </c>
      <c r="C72" s="10">
        <v>1290</v>
      </c>
      <c r="D72" s="4" t="s">
        <v>10</v>
      </c>
      <c r="E72" s="6">
        <v>46042</v>
      </c>
      <c r="F72" s="12"/>
    </row>
    <row r="73" spans="1:8" x14ac:dyDescent="0.3">
      <c r="A73" s="8">
        <v>14436</v>
      </c>
      <c r="B73" s="9" t="s">
        <v>88</v>
      </c>
      <c r="C73" s="10">
        <v>180</v>
      </c>
      <c r="D73" s="9" t="s">
        <v>16</v>
      </c>
      <c r="E73" s="6">
        <v>46042</v>
      </c>
      <c r="F73" s="12"/>
    </row>
    <row r="74" spans="1:8" x14ac:dyDescent="0.3">
      <c r="A74" s="8">
        <v>14428</v>
      </c>
      <c r="B74" s="9" t="s">
        <v>89</v>
      </c>
      <c r="C74" s="10">
        <v>181.6</v>
      </c>
      <c r="D74" s="9" t="s">
        <v>20</v>
      </c>
      <c r="E74" s="6">
        <v>46042</v>
      </c>
      <c r="F74" s="12"/>
    </row>
    <row r="75" spans="1:8" x14ac:dyDescent="0.3">
      <c r="A75" s="8">
        <v>14423</v>
      </c>
      <c r="B75" s="9" t="s">
        <v>90</v>
      </c>
      <c r="C75" s="10">
        <v>138</v>
      </c>
      <c r="D75" s="9" t="s">
        <v>25</v>
      </c>
      <c r="E75" s="6">
        <v>46042</v>
      </c>
      <c r="F75" s="12"/>
    </row>
    <row r="76" spans="1:8" x14ac:dyDescent="0.3">
      <c r="A76" s="8">
        <v>14425</v>
      </c>
      <c r="B76" s="9" t="s">
        <v>91</v>
      </c>
      <c r="C76" s="10">
        <v>69</v>
      </c>
      <c r="D76" s="9" t="s">
        <v>25</v>
      </c>
      <c r="E76" s="6">
        <v>46042</v>
      </c>
      <c r="F76" s="12"/>
    </row>
    <row r="77" spans="1:8" x14ac:dyDescent="0.3">
      <c r="A77" s="8">
        <v>14446</v>
      </c>
      <c r="B77" s="9" t="s">
        <v>92</v>
      </c>
      <c r="C77" s="10">
        <v>5900</v>
      </c>
      <c r="D77" s="9" t="s">
        <v>16</v>
      </c>
      <c r="E77" s="6">
        <v>46042</v>
      </c>
      <c r="F77" s="12"/>
    </row>
    <row r="78" spans="1:8" x14ac:dyDescent="0.3">
      <c r="A78" s="8">
        <v>14452</v>
      </c>
      <c r="B78" s="9" t="s">
        <v>93</v>
      </c>
      <c r="C78" s="10">
        <v>13590</v>
      </c>
      <c r="D78" s="9" t="s">
        <v>13</v>
      </c>
      <c r="E78" s="6">
        <v>46043</v>
      </c>
      <c r="F78" s="12"/>
    </row>
    <row r="79" spans="1:8" x14ac:dyDescent="0.3">
      <c r="A79" s="8">
        <v>14460</v>
      </c>
      <c r="B79" s="9" t="s">
        <v>94</v>
      </c>
      <c r="C79" s="10">
        <v>69</v>
      </c>
      <c r="D79" s="9" t="s">
        <v>20</v>
      </c>
      <c r="E79" s="6">
        <v>46043</v>
      </c>
      <c r="F79" s="12"/>
    </row>
    <row r="80" spans="1:8" x14ac:dyDescent="0.3">
      <c r="A80" s="8">
        <v>14455</v>
      </c>
      <c r="B80" s="9" t="s">
        <v>95</v>
      </c>
      <c r="C80" s="10">
        <v>69</v>
      </c>
      <c r="D80" s="9" t="s">
        <v>25</v>
      </c>
      <c r="E80" s="11">
        <v>46043</v>
      </c>
      <c r="F80" s="12"/>
    </row>
    <row r="81" spans="1:6" x14ac:dyDescent="0.3">
      <c r="A81" s="8">
        <v>14465</v>
      </c>
      <c r="B81" s="9" t="s">
        <v>96</v>
      </c>
      <c r="C81" s="10">
        <v>65</v>
      </c>
      <c r="D81" s="9" t="s">
        <v>16</v>
      </c>
      <c r="E81" s="11">
        <v>46043</v>
      </c>
      <c r="F81" s="12"/>
    </row>
    <row r="82" spans="1:6" x14ac:dyDescent="0.3">
      <c r="A82" s="8">
        <v>14469</v>
      </c>
      <c r="B82" s="9" t="s">
        <v>97</v>
      </c>
      <c r="C82" s="10">
        <v>5900</v>
      </c>
      <c r="D82" s="9" t="s">
        <v>16</v>
      </c>
      <c r="E82" s="11">
        <v>46043</v>
      </c>
      <c r="F82" s="12"/>
    </row>
    <row r="83" spans="1:6" x14ac:dyDescent="0.3">
      <c r="A83" s="8">
        <v>14476</v>
      </c>
      <c r="B83" s="9" t="s">
        <v>98</v>
      </c>
      <c r="C83" s="10">
        <v>4900</v>
      </c>
      <c r="D83" s="9" t="s">
        <v>16</v>
      </c>
      <c r="E83" s="11">
        <v>46043</v>
      </c>
      <c r="F83" s="12"/>
    </row>
    <row r="84" spans="1:6" x14ac:dyDescent="0.3">
      <c r="A84" s="8">
        <v>14479</v>
      </c>
      <c r="B84" s="9" t="s">
        <v>99</v>
      </c>
      <c r="C84" s="10">
        <v>5900</v>
      </c>
      <c r="D84" s="9" t="s">
        <v>16</v>
      </c>
      <c r="E84" s="11">
        <v>46043</v>
      </c>
      <c r="F84" s="12"/>
    </row>
    <row r="85" spans="1:6" x14ac:dyDescent="0.3">
      <c r="A85" s="8">
        <v>14484</v>
      </c>
      <c r="B85" s="9" t="s">
        <v>100</v>
      </c>
      <c r="C85" s="10">
        <v>63436</v>
      </c>
      <c r="D85" s="9" t="s">
        <v>16</v>
      </c>
      <c r="E85" s="11">
        <v>46044</v>
      </c>
      <c r="F85" s="12"/>
    </row>
    <row r="86" spans="1:6" x14ac:dyDescent="0.3">
      <c r="A86" s="8">
        <v>14481</v>
      </c>
      <c r="B86" s="9" t="s">
        <v>101</v>
      </c>
      <c r="C86" s="10">
        <v>69</v>
      </c>
      <c r="D86" s="9" t="s">
        <v>25</v>
      </c>
      <c r="E86" s="11">
        <v>46044</v>
      </c>
      <c r="F86" s="12"/>
    </row>
    <row r="87" spans="1:6" x14ac:dyDescent="0.3">
      <c r="A87" s="8">
        <v>14482</v>
      </c>
      <c r="B87" s="9" t="s">
        <v>102</v>
      </c>
      <c r="C87" s="10">
        <v>69</v>
      </c>
      <c r="D87" s="9" t="s">
        <v>25</v>
      </c>
      <c r="E87" s="11">
        <v>46044</v>
      </c>
      <c r="F87" s="12"/>
    </row>
    <row r="88" spans="1:6" x14ac:dyDescent="0.3">
      <c r="A88" s="8">
        <v>14489</v>
      </c>
      <c r="B88" s="9" t="s">
        <v>103</v>
      </c>
      <c r="C88" s="10">
        <v>5325.3</v>
      </c>
      <c r="D88" s="4" t="s">
        <v>25</v>
      </c>
      <c r="E88" s="11">
        <v>46044</v>
      </c>
      <c r="F88" s="12"/>
    </row>
    <row r="89" spans="1:6" x14ac:dyDescent="0.3">
      <c r="A89" s="8">
        <v>14503</v>
      </c>
      <c r="B89" s="9" t="s">
        <v>104</v>
      </c>
      <c r="C89" s="10">
        <v>5980</v>
      </c>
      <c r="D89" s="9" t="s">
        <v>10</v>
      </c>
      <c r="E89" s="11">
        <v>46044</v>
      </c>
      <c r="F89" s="12"/>
    </row>
    <row r="90" spans="1:6" x14ac:dyDescent="0.3">
      <c r="A90" s="8">
        <v>14519</v>
      </c>
      <c r="B90" s="9" t="s">
        <v>106</v>
      </c>
      <c r="C90" s="10">
        <v>4990</v>
      </c>
      <c r="D90" s="9" t="s">
        <v>10</v>
      </c>
      <c r="E90" s="11">
        <v>46045</v>
      </c>
      <c r="F90" s="34"/>
    </row>
    <row r="91" spans="1:6" x14ac:dyDescent="0.3">
      <c r="A91" s="32">
        <v>14523</v>
      </c>
      <c r="B91" s="33" t="s">
        <v>107</v>
      </c>
      <c r="C91" s="10">
        <v>138</v>
      </c>
      <c r="D91" s="9" t="s">
        <v>25</v>
      </c>
      <c r="E91" s="11">
        <v>46045</v>
      </c>
      <c r="F91" s="21"/>
    </row>
    <row r="92" spans="1:6" x14ac:dyDescent="0.3">
      <c r="A92" s="8">
        <v>14524</v>
      </c>
      <c r="B92" s="9" t="s">
        <v>108</v>
      </c>
      <c r="C92" s="10">
        <v>69</v>
      </c>
      <c r="D92" s="9" t="s">
        <v>25</v>
      </c>
      <c r="E92" s="11">
        <v>46045</v>
      </c>
      <c r="F92" s="12"/>
    </row>
    <row r="93" spans="1:6" x14ac:dyDescent="0.3">
      <c r="A93" s="8">
        <v>14525</v>
      </c>
      <c r="B93" s="9" t="s">
        <v>62</v>
      </c>
      <c r="C93" s="10">
        <v>69</v>
      </c>
      <c r="D93" s="9" t="s">
        <v>25</v>
      </c>
      <c r="E93" s="11">
        <v>46045</v>
      </c>
      <c r="F93" s="12"/>
    </row>
    <row r="94" spans="1:6" x14ac:dyDescent="0.3">
      <c r="A94" s="8">
        <v>14526</v>
      </c>
      <c r="B94" s="9" t="s">
        <v>109</v>
      </c>
      <c r="C94" s="10">
        <v>891</v>
      </c>
      <c r="D94" s="9" t="s">
        <v>25</v>
      </c>
      <c r="E94" s="11">
        <v>46045</v>
      </c>
      <c r="F94" s="12"/>
    </row>
    <row r="95" spans="1:6" x14ac:dyDescent="0.3">
      <c r="A95" s="8">
        <v>14529</v>
      </c>
      <c r="B95" s="9" t="s">
        <v>110</v>
      </c>
      <c r="C95" s="10">
        <v>799</v>
      </c>
      <c r="D95" s="9" t="s">
        <v>25</v>
      </c>
      <c r="E95" s="11">
        <v>46045</v>
      </c>
      <c r="F95" s="12"/>
    </row>
    <row r="96" spans="1:6" x14ac:dyDescent="0.3">
      <c r="A96" s="8">
        <v>14530</v>
      </c>
      <c r="B96" s="9" t="s">
        <v>111</v>
      </c>
      <c r="C96" s="10">
        <v>3850</v>
      </c>
      <c r="D96" s="9" t="s">
        <v>10</v>
      </c>
      <c r="E96" s="11">
        <v>46045</v>
      </c>
      <c r="F96" s="12"/>
    </row>
    <row r="97" spans="1:6" x14ac:dyDescent="0.3">
      <c r="A97" s="8">
        <v>14531</v>
      </c>
      <c r="B97" s="9" t="s">
        <v>112</v>
      </c>
      <c r="C97" s="10">
        <v>12513</v>
      </c>
      <c r="D97" s="9" t="s">
        <v>16</v>
      </c>
      <c r="E97" s="11">
        <v>46045</v>
      </c>
      <c r="F97" s="12"/>
    </row>
    <row r="98" spans="1:6" x14ac:dyDescent="0.3">
      <c r="A98" s="8">
        <v>14534</v>
      </c>
      <c r="B98" s="9" t="s">
        <v>113</v>
      </c>
      <c r="C98" s="10">
        <v>1378</v>
      </c>
      <c r="D98" s="9" t="s">
        <v>16</v>
      </c>
      <c r="E98" s="11">
        <v>46045</v>
      </c>
      <c r="F98" s="12"/>
    </row>
    <row r="99" spans="1:6" x14ac:dyDescent="0.3">
      <c r="A99" s="8">
        <v>14542</v>
      </c>
      <c r="B99" s="9" t="s">
        <v>114</v>
      </c>
      <c r="C99" s="10">
        <v>10649</v>
      </c>
      <c r="D99" s="9" t="s">
        <v>16</v>
      </c>
      <c r="E99" s="11">
        <v>46048</v>
      </c>
      <c r="F99" s="12"/>
    </row>
    <row r="100" spans="1:6" x14ac:dyDescent="0.3">
      <c r="A100" s="8">
        <v>14543</v>
      </c>
      <c r="B100" s="9" t="s">
        <v>115</v>
      </c>
      <c r="C100" s="10">
        <v>187</v>
      </c>
      <c r="D100" s="9" t="s">
        <v>25</v>
      </c>
      <c r="E100" s="11">
        <v>46048</v>
      </c>
      <c r="F100" s="12"/>
    </row>
    <row r="101" spans="1:6" x14ac:dyDescent="0.3">
      <c r="A101" s="8">
        <v>14544</v>
      </c>
      <c r="B101" s="9" t="s">
        <v>116</v>
      </c>
      <c r="C101" s="10">
        <v>5900</v>
      </c>
      <c r="D101" s="4" t="s">
        <v>25</v>
      </c>
      <c r="E101" s="11">
        <v>46048</v>
      </c>
      <c r="F101" s="12"/>
    </row>
    <row r="102" spans="1:6" x14ac:dyDescent="0.3">
      <c r="A102" s="8">
        <v>14550</v>
      </c>
      <c r="B102" s="9" t="s">
        <v>117</v>
      </c>
      <c r="C102" s="10">
        <v>187</v>
      </c>
      <c r="D102" s="9" t="s">
        <v>25</v>
      </c>
      <c r="E102" s="11">
        <v>46048</v>
      </c>
      <c r="F102" s="12"/>
    </row>
    <row r="103" spans="1:6" x14ac:dyDescent="0.3">
      <c r="A103" s="8">
        <v>14551</v>
      </c>
      <c r="B103" s="9" t="s">
        <v>118</v>
      </c>
      <c r="C103" s="10">
        <v>69</v>
      </c>
      <c r="D103" s="9" t="s">
        <v>25</v>
      </c>
      <c r="E103" s="11">
        <v>45683</v>
      </c>
      <c r="F103" s="12"/>
    </row>
    <row r="104" spans="1:6" x14ac:dyDescent="0.3">
      <c r="A104" s="8">
        <v>14552</v>
      </c>
      <c r="B104" s="9" t="s">
        <v>120</v>
      </c>
      <c r="C104" s="10">
        <v>1030.4000000000001</v>
      </c>
      <c r="D104" s="9" t="s">
        <v>20</v>
      </c>
      <c r="E104" s="11">
        <v>45317</v>
      </c>
      <c r="F104" s="12"/>
    </row>
    <row r="105" spans="1:6" x14ac:dyDescent="0.3">
      <c r="A105" s="8">
        <v>14553</v>
      </c>
      <c r="B105" s="9" t="s">
        <v>119</v>
      </c>
      <c r="C105" s="10">
        <v>981.5</v>
      </c>
      <c r="D105" s="9" t="s">
        <v>16</v>
      </c>
      <c r="E105" s="11">
        <v>46048</v>
      </c>
      <c r="F105" s="12"/>
    </row>
    <row r="106" spans="1:6" x14ac:dyDescent="0.3">
      <c r="A106" s="8">
        <v>14562</v>
      </c>
      <c r="B106" s="9" t="s">
        <v>121</v>
      </c>
      <c r="C106" s="10">
        <v>16460</v>
      </c>
      <c r="D106" s="9" t="s">
        <v>10</v>
      </c>
      <c r="E106" s="11">
        <v>46048</v>
      </c>
      <c r="F106" s="12"/>
    </row>
    <row r="107" spans="1:6" x14ac:dyDescent="0.3">
      <c r="A107" s="8">
        <v>14563</v>
      </c>
      <c r="B107" s="9" t="s">
        <v>122</v>
      </c>
      <c r="C107" s="10">
        <v>37015.300000000003</v>
      </c>
      <c r="D107" s="9" t="s">
        <v>13</v>
      </c>
      <c r="E107" s="11">
        <v>46048</v>
      </c>
      <c r="F107" s="12" t="s">
        <v>35</v>
      </c>
    </row>
    <row r="108" spans="1:6" x14ac:dyDescent="0.3">
      <c r="A108" s="8">
        <v>14566</v>
      </c>
      <c r="B108" s="9" t="s">
        <v>123</v>
      </c>
      <c r="C108" s="10">
        <v>10436</v>
      </c>
      <c r="D108" s="9" t="s">
        <v>16</v>
      </c>
      <c r="E108" s="11">
        <v>46048</v>
      </c>
      <c r="F108" s="12"/>
    </row>
    <row r="109" spans="1:6" x14ac:dyDescent="0.3">
      <c r="A109" s="8">
        <v>14577</v>
      </c>
      <c r="B109" s="9" t="s">
        <v>124</v>
      </c>
      <c r="C109" s="10">
        <v>29302</v>
      </c>
      <c r="D109" s="9" t="s">
        <v>16</v>
      </c>
      <c r="E109" s="11">
        <v>46048</v>
      </c>
      <c r="F109" s="12"/>
    </row>
    <row r="110" spans="1:6" x14ac:dyDescent="0.3">
      <c r="A110" s="8">
        <v>14578</v>
      </c>
      <c r="B110" s="9" t="s">
        <v>125</v>
      </c>
      <c r="C110" s="10">
        <v>16393</v>
      </c>
      <c r="D110" s="9" t="s">
        <v>16</v>
      </c>
      <c r="E110" s="11">
        <v>46049</v>
      </c>
      <c r="F110" s="12"/>
    </row>
    <row r="111" spans="1:6" x14ac:dyDescent="0.3">
      <c r="A111" s="8">
        <v>14584</v>
      </c>
      <c r="B111" s="9" t="s">
        <v>126</v>
      </c>
      <c r="C111" s="10">
        <v>258</v>
      </c>
      <c r="D111" s="9" t="s">
        <v>13</v>
      </c>
      <c r="E111" s="11">
        <v>46049</v>
      </c>
      <c r="F111" s="12"/>
    </row>
    <row r="112" spans="1:6" x14ac:dyDescent="0.3">
      <c r="A112" s="25">
        <v>14581</v>
      </c>
      <c r="B112" s="9" t="s">
        <v>63</v>
      </c>
      <c r="C112" s="28">
        <v>69</v>
      </c>
      <c r="D112" s="9" t="s">
        <v>25</v>
      </c>
      <c r="E112" s="11">
        <v>46049</v>
      </c>
      <c r="F112" s="12"/>
    </row>
    <row r="113" spans="1:6" x14ac:dyDescent="0.3">
      <c r="A113" s="8">
        <v>14583</v>
      </c>
      <c r="B113" s="9" t="s">
        <v>127</v>
      </c>
      <c r="C113" s="10">
        <v>556</v>
      </c>
      <c r="D113" s="9" t="s">
        <v>25</v>
      </c>
      <c r="E113" s="11">
        <v>46049</v>
      </c>
      <c r="F113" s="12"/>
    </row>
    <row r="114" spans="1:6" x14ac:dyDescent="0.3">
      <c r="A114" s="8">
        <v>14602</v>
      </c>
      <c r="B114" s="9" t="s">
        <v>128</v>
      </c>
      <c r="C114" s="10">
        <v>220</v>
      </c>
      <c r="D114" s="9" t="s">
        <v>16</v>
      </c>
      <c r="E114" s="11">
        <v>46049</v>
      </c>
      <c r="F114" s="12"/>
    </row>
    <row r="115" spans="1:6" x14ac:dyDescent="0.3">
      <c r="A115" s="8">
        <v>14604</v>
      </c>
      <c r="B115" s="9" t="s">
        <v>129</v>
      </c>
      <c r="C115" s="10">
        <v>1076</v>
      </c>
      <c r="D115" s="9" t="s">
        <v>20</v>
      </c>
      <c r="E115" s="11">
        <v>46049</v>
      </c>
      <c r="F115" s="12"/>
    </row>
    <row r="116" spans="1:6" x14ac:dyDescent="0.3">
      <c r="A116" s="8">
        <v>14608</v>
      </c>
      <c r="B116" s="9" t="s">
        <v>130</v>
      </c>
      <c r="C116" s="10">
        <v>63700</v>
      </c>
      <c r="D116" s="9" t="s">
        <v>10</v>
      </c>
      <c r="E116" s="11">
        <v>46050</v>
      </c>
      <c r="F116" s="12"/>
    </row>
    <row r="117" spans="1:6" x14ac:dyDescent="0.3">
      <c r="A117" s="8">
        <v>14607</v>
      </c>
      <c r="B117" s="9" t="s">
        <v>131</v>
      </c>
      <c r="C117" s="10">
        <v>15190.5</v>
      </c>
      <c r="D117" s="9" t="s">
        <v>13</v>
      </c>
      <c r="E117" s="11">
        <v>46050</v>
      </c>
      <c r="F117" s="12"/>
    </row>
    <row r="118" spans="1:6" x14ac:dyDescent="0.3">
      <c r="A118" s="8">
        <v>14620</v>
      </c>
      <c r="B118" s="9" t="s">
        <v>132</v>
      </c>
      <c r="C118" s="10">
        <v>4740.5</v>
      </c>
      <c r="D118" s="9" t="s">
        <v>10</v>
      </c>
      <c r="E118" s="11">
        <v>46050</v>
      </c>
      <c r="F118" s="12"/>
    </row>
    <row r="119" spans="1:6" x14ac:dyDescent="0.3">
      <c r="A119" s="8">
        <v>14611</v>
      </c>
      <c r="B119" s="9" t="s">
        <v>133</v>
      </c>
      <c r="C119" s="10">
        <v>118</v>
      </c>
      <c r="D119" s="9" t="s">
        <v>25</v>
      </c>
      <c r="E119" s="11">
        <v>46050</v>
      </c>
      <c r="F119" s="12"/>
    </row>
    <row r="120" spans="1:6" x14ac:dyDescent="0.3">
      <c r="A120" s="8">
        <v>14613</v>
      </c>
      <c r="B120" s="9" t="s">
        <v>133</v>
      </c>
      <c r="C120" s="10">
        <v>1043</v>
      </c>
      <c r="D120" s="9" t="s">
        <v>25</v>
      </c>
      <c r="E120" s="11">
        <v>46050</v>
      </c>
      <c r="F120" s="31"/>
    </row>
    <row r="121" spans="1:6" x14ac:dyDescent="0.3">
      <c r="A121" s="8">
        <v>14615</v>
      </c>
      <c r="B121" s="9" t="s">
        <v>134</v>
      </c>
      <c r="C121" s="10">
        <v>49</v>
      </c>
      <c r="D121" s="9" t="s">
        <v>25</v>
      </c>
      <c r="E121" s="11">
        <v>46050</v>
      </c>
      <c r="F121" s="12"/>
    </row>
    <row r="122" spans="1:6" x14ac:dyDescent="0.3">
      <c r="A122" s="8">
        <v>14616</v>
      </c>
      <c r="B122" s="9" t="s">
        <v>135</v>
      </c>
      <c r="C122" s="10">
        <v>138</v>
      </c>
      <c r="D122" s="9" t="s">
        <v>25</v>
      </c>
      <c r="E122" s="11">
        <v>46050</v>
      </c>
      <c r="F122" s="12"/>
    </row>
    <row r="123" spans="1:6" x14ac:dyDescent="0.3">
      <c r="A123" s="8">
        <v>14618</v>
      </c>
      <c r="B123" s="9" t="s">
        <v>136</v>
      </c>
      <c r="C123" s="10">
        <v>69</v>
      </c>
      <c r="D123" s="9" t="s">
        <v>25</v>
      </c>
      <c r="E123" s="11">
        <v>46050</v>
      </c>
      <c r="F123" s="12"/>
    </row>
    <row r="124" spans="1:6" x14ac:dyDescent="0.3">
      <c r="A124" s="8">
        <v>14623</v>
      </c>
      <c r="B124" s="9" t="s">
        <v>137</v>
      </c>
      <c r="C124" s="10">
        <v>160.1</v>
      </c>
      <c r="D124" s="9" t="s">
        <v>16</v>
      </c>
      <c r="E124" s="11">
        <v>46050</v>
      </c>
      <c r="F124" s="12"/>
    </row>
    <row r="125" spans="1:6" x14ac:dyDescent="0.3">
      <c r="A125" s="8">
        <v>14626</v>
      </c>
      <c r="B125" s="9" t="s">
        <v>138</v>
      </c>
      <c r="C125" s="10">
        <v>138</v>
      </c>
      <c r="D125" s="9" t="s">
        <v>16</v>
      </c>
      <c r="E125" s="11">
        <v>46050</v>
      </c>
      <c r="F125" s="12"/>
    </row>
    <row r="126" spans="1:6" x14ac:dyDescent="0.3">
      <c r="A126" s="8">
        <v>14630</v>
      </c>
      <c r="B126" s="9" t="s">
        <v>139</v>
      </c>
      <c r="C126" s="10">
        <v>990</v>
      </c>
      <c r="D126" s="9" t="s">
        <v>16</v>
      </c>
      <c r="E126" s="11">
        <v>46050</v>
      </c>
      <c r="F126" s="12"/>
    </row>
    <row r="127" spans="1:6" x14ac:dyDescent="0.3">
      <c r="A127" s="8">
        <v>14631</v>
      </c>
      <c r="B127" s="9" t="s">
        <v>140</v>
      </c>
      <c r="C127" s="10">
        <v>2280</v>
      </c>
      <c r="D127" s="9" t="s">
        <v>16</v>
      </c>
      <c r="E127" s="11">
        <v>46050</v>
      </c>
      <c r="F127" s="12"/>
    </row>
    <row r="128" spans="1:6" x14ac:dyDescent="0.3">
      <c r="A128" s="8">
        <v>14632</v>
      </c>
      <c r="B128" s="9" t="s">
        <v>141</v>
      </c>
      <c r="C128" s="10">
        <v>1022</v>
      </c>
      <c r="D128" s="9" t="s">
        <v>16</v>
      </c>
      <c r="E128" s="11">
        <v>46050</v>
      </c>
      <c r="F128" s="12"/>
    </row>
    <row r="129" spans="1:6" x14ac:dyDescent="0.3">
      <c r="A129" s="8">
        <v>14640</v>
      </c>
      <c r="B129" s="9" t="s">
        <v>142</v>
      </c>
      <c r="C129" s="10">
        <v>14870</v>
      </c>
      <c r="D129" s="9" t="s">
        <v>10</v>
      </c>
      <c r="E129" s="11">
        <v>46051</v>
      </c>
      <c r="F129" s="12"/>
    </row>
    <row r="130" spans="1:6" x14ac:dyDescent="0.3">
      <c r="A130" s="8">
        <v>14645</v>
      </c>
      <c r="B130" s="9" t="s">
        <v>134</v>
      </c>
      <c r="C130" s="10">
        <v>116.1</v>
      </c>
      <c r="D130" s="9" t="s">
        <v>20</v>
      </c>
      <c r="E130" s="11">
        <v>46051</v>
      </c>
      <c r="F130" s="12"/>
    </row>
    <row r="131" spans="1:6" x14ac:dyDescent="0.3">
      <c r="A131" s="8">
        <v>14650</v>
      </c>
      <c r="B131" s="9" t="s">
        <v>143</v>
      </c>
      <c r="C131" s="10">
        <v>5954.9</v>
      </c>
      <c r="D131" s="9" t="s">
        <v>10</v>
      </c>
      <c r="E131" s="11">
        <v>46051</v>
      </c>
      <c r="F131" s="12"/>
    </row>
    <row r="132" spans="1:6" x14ac:dyDescent="0.3">
      <c r="A132" s="8">
        <v>14665</v>
      </c>
      <c r="B132" s="9" t="s">
        <v>144</v>
      </c>
      <c r="C132" s="10">
        <v>9681.6</v>
      </c>
      <c r="D132" s="9" t="s">
        <v>16</v>
      </c>
      <c r="E132" s="11">
        <v>46051</v>
      </c>
      <c r="F132" s="12"/>
    </row>
    <row r="133" spans="1:6" x14ac:dyDescent="0.3">
      <c r="A133" s="8">
        <v>14671</v>
      </c>
      <c r="B133" s="9" t="s">
        <v>145</v>
      </c>
      <c r="C133" s="10">
        <v>13410</v>
      </c>
      <c r="D133" s="9" t="s">
        <v>13</v>
      </c>
      <c r="E133" s="11">
        <v>46051</v>
      </c>
      <c r="F133" s="12"/>
    </row>
    <row r="134" spans="1:6" x14ac:dyDescent="0.3">
      <c r="A134" s="8">
        <v>14673</v>
      </c>
      <c r="B134" s="9" t="s">
        <v>146</v>
      </c>
      <c r="C134" s="10">
        <v>323</v>
      </c>
      <c r="D134" s="9" t="s">
        <v>10</v>
      </c>
      <c r="E134" s="11">
        <v>46051</v>
      </c>
      <c r="F134" s="12"/>
    </row>
    <row r="135" spans="1:6" x14ac:dyDescent="0.3">
      <c r="A135" s="14">
        <v>14674</v>
      </c>
      <c r="B135" s="15" t="s">
        <v>147</v>
      </c>
      <c r="C135" s="16">
        <v>5723</v>
      </c>
      <c r="D135" s="9" t="s">
        <v>16</v>
      </c>
      <c r="E135" s="11">
        <v>46051</v>
      </c>
      <c r="F135" s="12"/>
    </row>
    <row r="136" spans="1:6" x14ac:dyDescent="0.3">
      <c r="A136" s="14">
        <v>14649</v>
      </c>
      <c r="B136" s="15" t="s">
        <v>148</v>
      </c>
      <c r="C136" s="16">
        <v>10117.5</v>
      </c>
      <c r="D136" s="9" t="s">
        <v>25</v>
      </c>
      <c r="E136" s="11">
        <v>46051</v>
      </c>
      <c r="F136" s="12"/>
    </row>
    <row r="137" spans="1:6" x14ac:dyDescent="0.3">
      <c r="A137" s="14">
        <v>14653</v>
      </c>
      <c r="B137" s="15" t="s">
        <v>149</v>
      </c>
      <c r="C137" s="16">
        <v>209</v>
      </c>
      <c r="D137" s="9" t="s">
        <v>25</v>
      </c>
      <c r="E137" s="11">
        <v>46051</v>
      </c>
      <c r="F137" s="12"/>
    </row>
    <row r="138" spans="1:6" x14ac:dyDescent="0.3">
      <c r="A138" s="8">
        <v>14683</v>
      </c>
      <c r="B138" s="9" t="s">
        <v>150</v>
      </c>
      <c r="C138" s="10">
        <v>5900</v>
      </c>
      <c r="D138" s="9" t="s">
        <v>13</v>
      </c>
      <c r="E138" s="11">
        <v>46051</v>
      </c>
      <c r="F138" s="12"/>
    </row>
    <row r="139" spans="1:6" x14ac:dyDescent="0.3">
      <c r="A139" s="8">
        <v>14688</v>
      </c>
      <c r="B139" s="9" t="s">
        <v>151</v>
      </c>
      <c r="C139" s="10">
        <v>236.7</v>
      </c>
      <c r="D139" s="9" t="s">
        <v>20</v>
      </c>
      <c r="E139" s="11">
        <v>46051</v>
      </c>
      <c r="F139" s="12"/>
    </row>
    <row r="140" spans="1:6" x14ac:dyDescent="0.3">
      <c r="A140" s="8">
        <v>14655</v>
      </c>
      <c r="B140" s="9" t="s">
        <v>152</v>
      </c>
      <c r="C140" s="10">
        <v>10010.4</v>
      </c>
      <c r="D140" s="9" t="s">
        <v>25</v>
      </c>
      <c r="E140" s="11">
        <v>46052</v>
      </c>
      <c r="F140" s="12"/>
    </row>
    <row r="141" spans="1:6" x14ac:dyDescent="0.3">
      <c r="A141" s="8">
        <v>14703</v>
      </c>
      <c r="B141" s="9" t="s">
        <v>153</v>
      </c>
      <c r="C141" s="10">
        <v>353.8</v>
      </c>
      <c r="D141" s="9" t="s">
        <v>20</v>
      </c>
      <c r="E141" s="11">
        <v>46052</v>
      </c>
      <c r="F141" s="12"/>
    </row>
    <row r="142" spans="1:6" ht="15.75" customHeight="1" x14ac:dyDescent="0.3">
      <c r="A142" s="8">
        <v>14708</v>
      </c>
      <c r="B142" s="9" t="s">
        <v>154</v>
      </c>
      <c r="C142" s="10">
        <v>20040</v>
      </c>
      <c r="D142" s="9" t="s">
        <v>10</v>
      </c>
      <c r="E142" s="11">
        <v>46052</v>
      </c>
      <c r="F142" s="12"/>
    </row>
    <row r="143" spans="1:6" x14ac:dyDescent="0.3">
      <c r="A143" s="27">
        <v>14710</v>
      </c>
      <c r="B143" s="9" t="s">
        <v>155</v>
      </c>
      <c r="C143" s="30">
        <v>4490</v>
      </c>
      <c r="D143" s="9" t="s">
        <v>10</v>
      </c>
      <c r="E143" s="11">
        <v>46052</v>
      </c>
      <c r="F143" s="12"/>
    </row>
    <row r="144" spans="1:6" x14ac:dyDescent="0.3">
      <c r="A144" s="8">
        <v>14716</v>
      </c>
      <c r="B144" s="9" t="s">
        <v>156</v>
      </c>
      <c r="C144" s="10">
        <v>15880</v>
      </c>
      <c r="D144" s="9" t="s">
        <v>13</v>
      </c>
      <c r="E144" s="11">
        <v>46052</v>
      </c>
      <c r="F144" s="12"/>
    </row>
    <row r="145" spans="1:6" x14ac:dyDescent="0.3">
      <c r="A145" s="8">
        <v>14721</v>
      </c>
      <c r="B145" s="9" t="s">
        <v>157</v>
      </c>
      <c r="C145" s="10">
        <v>990</v>
      </c>
      <c r="D145" s="9" t="s">
        <v>10</v>
      </c>
      <c r="E145" s="11">
        <v>46052</v>
      </c>
      <c r="F145" s="12"/>
    </row>
    <row r="146" spans="1:6" x14ac:dyDescent="0.3">
      <c r="A146" s="8">
        <v>14723</v>
      </c>
      <c r="B146" s="9" t="s">
        <v>158</v>
      </c>
      <c r="C146" s="10">
        <v>15140</v>
      </c>
      <c r="D146" s="9" t="s">
        <v>50</v>
      </c>
      <c r="E146" s="11">
        <v>46052</v>
      </c>
      <c r="F146" s="12"/>
    </row>
    <row r="147" spans="1:6" x14ac:dyDescent="0.3">
      <c r="A147" s="14"/>
      <c r="B147" s="15"/>
      <c r="C147" s="16"/>
      <c r="D147" s="9"/>
      <c r="E147" s="11"/>
      <c r="F147" s="12"/>
    </row>
    <row r="148" spans="1:6" x14ac:dyDescent="0.3">
      <c r="A148" s="14"/>
      <c r="B148" s="15"/>
      <c r="C148" s="16"/>
      <c r="D148" s="15"/>
      <c r="E148" s="11"/>
      <c r="F148" s="12"/>
    </row>
    <row r="149" spans="1:6" x14ac:dyDescent="0.3">
      <c r="A149" s="14"/>
      <c r="B149" s="15"/>
      <c r="C149" s="16"/>
      <c r="D149" s="15"/>
      <c r="E149" s="11"/>
      <c r="F149" s="12"/>
    </row>
    <row r="150" spans="1:6" x14ac:dyDescent="0.3">
      <c r="A150" s="14"/>
      <c r="B150" s="15"/>
      <c r="C150" s="16"/>
      <c r="D150" s="15"/>
      <c r="E150" s="11"/>
      <c r="F150" s="12"/>
    </row>
    <row r="151" spans="1:6" x14ac:dyDescent="0.3">
      <c r="A151" s="14"/>
      <c r="B151" s="15"/>
      <c r="C151" s="16"/>
      <c r="D151" s="15"/>
      <c r="E151" s="11"/>
      <c r="F151" s="12"/>
    </row>
    <row r="152" spans="1:6" x14ac:dyDescent="0.3">
      <c r="A152" s="23"/>
      <c r="B152" s="15"/>
      <c r="C152" s="24"/>
      <c r="D152" s="15"/>
      <c r="E152" s="11"/>
      <c r="F152" s="12"/>
    </row>
    <row r="153" spans="1:6" x14ac:dyDescent="0.3">
      <c r="A153" s="26"/>
      <c r="B153" s="15"/>
      <c r="C153" s="29"/>
      <c r="D153" s="15"/>
      <c r="E153" s="11"/>
      <c r="F153" s="12"/>
    </row>
    <row r="154" spans="1:6" x14ac:dyDescent="0.3">
      <c r="A154" s="26"/>
      <c r="B154" s="15"/>
      <c r="C154" s="29"/>
      <c r="D154" s="15"/>
      <c r="E154" s="11"/>
      <c r="F154" s="12"/>
    </row>
    <row r="155" spans="1:6" x14ac:dyDescent="0.3">
      <c r="A155" s="14"/>
      <c r="B155" s="15"/>
      <c r="C155" s="16"/>
      <c r="D155" s="15"/>
      <c r="E155" s="17"/>
      <c r="F155" s="12"/>
    </row>
    <row r="156" spans="1:6" x14ac:dyDescent="0.3">
      <c r="A156" s="14"/>
      <c r="B156" s="15"/>
      <c r="C156" s="16"/>
      <c r="D156" s="15"/>
      <c r="E156" s="17"/>
      <c r="F156" s="12"/>
    </row>
    <row r="157" spans="1:6" x14ac:dyDescent="0.3">
      <c r="A157" s="14"/>
      <c r="B157" s="15"/>
      <c r="C157" s="16"/>
      <c r="D157" s="15"/>
      <c r="E157" s="17"/>
      <c r="F157" s="12"/>
    </row>
    <row r="158" spans="1:6" x14ac:dyDescent="0.3">
      <c r="A158" s="14"/>
      <c r="B158" s="15"/>
      <c r="C158" s="16"/>
      <c r="D158" s="15"/>
      <c r="E158" s="17"/>
      <c r="F158" s="12"/>
    </row>
    <row r="159" spans="1:6" x14ac:dyDescent="0.3">
      <c r="A159" s="14"/>
      <c r="B159" s="15"/>
      <c r="C159" s="16"/>
      <c r="D159" s="15"/>
      <c r="E159" s="17"/>
      <c r="F159" s="12"/>
    </row>
    <row r="160" spans="1:6" x14ac:dyDescent="0.3">
      <c r="A160" s="15"/>
      <c r="B160" s="15"/>
      <c r="C160" s="16"/>
      <c r="D160" s="9"/>
      <c r="E160" s="17"/>
      <c r="F160" s="12"/>
    </row>
    <row r="161" spans="1:6" x14ac:dyDescent="0.3">
      <c r="A161" s="14"/>
      <c r="B161" s="15"/>
      <c r="C161" s="16"/>
      <c r="D161" s="9"/>
      <c r="E161" s="17"/>
      <c r="F161" s="31"/>
    </row>
    <row r="162" spans="1:6" x14ac:dyDescent="0.3">
      <c r="A162" s="14"/>
      <c r="B162" s="15"/>
      <c r="C162" s="16"/>
      <c r="D162" s="9"/>
      <c r="E162" s="17"/>
      <c r="F162" s="12"/>
    </row>
    <row r="163" spans="1:6" x14ac:dyDescent="0.3">
      <c r="A163" s="14"/>
      <c r="B163" s="15"/>
      <c r="C163" s="16"/>
      <c r="D163" s="15"/>
      <c r="E163" s="17"/>
      <c r="F163" s="12"/>
    </row>
    <row r="164" spans="1:6" x14ac:dyDescent="0.3">
      <c r="A164" s="14"/>
      <c r="B164" s="15"/>
      <c r="C164" s="16"/>
      <c r="D164" s="9"/>
      <c r="E164" s="17"/>
      <c r="F164" s="12"/>
    </row>
    <row r="165" spans="1:6" x14ac:dyDescent="0.3">
      <c r="A165" s="14"/>
      <c r="B165" s="15"/>
      <c r="C165" s="16"/>
      <c r="D165" s="9"/>
      <c r="E165" s="17"/>
      <c r="F165" s="12"/>
    </row>
    <row r="166" spans="1:6" x14ac:dyDescent="0.3">
      <c r="A166" s="14"/>
      <c r="B166" s="15"/>
      <c r="C166" s="16"/>
      <c r="D166" s="15"/>
      <c r="E166" s="17"/>
      <c r="F166" s="12"/>
    </row>
    <row r="167" spans="1:6" x14ac:dyDescent="0.3">
      <c r="A167" s="14"/>
      <c r="B167" s="15"/>
      <c r="C167" s="16"/>
      <c r="D167" s="9"/>
      <c r="E167" s="17"/>
      <c r="F167" s="12"/>
    </row>
    <row r="168" spans="1:6" x14ac:dyDescent="0.3">
      <c r="A168" s="14"/>
      <c r="B168" s="15"/>
      <c r="C168" s="16"/>
      <c r="D168" s="9"/>
      <c r="E168" s="17"/>
      <c r="F168" s="12"/>
    </row>
    <row r="169" spans="1:6" x14ac:dyDescent="0.3">
      <c r="A169" s="14"/>
      <c r="B169" s="15"/>
      <c r="C169" s="16"/>
      <c r="D169" s="15"/>
      <c r="E169" s="17"/>
      <c r="F169" s="12"/>
    </row>
    <row r="170" spans="1:6" x14ac:dyDescent="0.3">
      <c r="A170" s="14"/>
      <c r="B170" s="15"/>
      <c r="C170" s="16"/>
      <c r="D170" s="9"/>
      <c r="E170" s="17"/>
      <c r="F170" s="12"/>
    </row>
    <row r="171" spans="1:6" x14ac:dyDescent="0.3">
      <c r="A171" s="14"/>
      <c r="B171" s="15"/>
      <c r="C171" s="16"/>
      <c r="D171" s="15"/>
      <c r="E171" s="17"/>
      <c r="F171" s="31"/>
    </row>
    <row r="172" spans="1:6" x14ac:dyDescent="0.3">
      <c r="A172" s="14"/>
      <c r="B172" s="15"/>
      <c r="C172" s="16"/>
      <c r="D172" s="9"/>
      <c r="E172" s="17"/>
      <c r="F172" s="12"/>
    </row>
    <row r="173" spans="1:6" x14ac:dyDescent="0.3">
      <c r="A173" s="14"/>
      <c r="B173" s="15"/>
      <c r="C173" s="16"/>
      <c r="D173" s="9"/>
      <c r="E173" s="17"/>
      <c r="F173" s="12"/>
    </row>
    <row r="174" spans="1:6" x14ac:dyDescent="0.3">
      <c r="A174" s="14"/>
      <c r="B174" s="15"/>
      <c r="C174" s="16"/>
      <c r="D174" s="15"/>
      <c r="E174" s="17"/>
      <c r="F174" s="12"/>
    </row>
    <row r="175" spans="1:6" x14ac:dyDescent="0.3">
      <c r="A175" s="14"/>
      <c r="B175" s="15"/>
      <c r="C175" s="16"/>
      <c r="D175" s="15"/>
      <c r="E175" s="17"/>
      <c r="F175" s="12"/>
    </row>
    <row r="176" spans="1:6" x14ac:dyDescent="0.3">
      <c r="A176" s="14"/>
      <c r="B176" s="15"/>
      <c r="C176" s="16"/>
      <c r="D176" s="15"/>
      <c r="E176" s="17"/>
      <c r="F176" s="12"/>
    </row>
    <row r="177" spans="1:6" x14ac:dyDescent="0.3">
      <c r="A177" s="14"/>
      <c r="B177" s="15"/>
      <c r="C177" s="16"/>
      <c r="D177" s="15"/>
      <c r="E177" s="17"/>
      <c r="F177" s="12"/>
    </row>
    <row r="178" spans="1:6" x14ac:dyDescent="0.3">
      <c r="A178" s="14"/>
      <c r="B178" s="15"/>
      <c r="C178" s="16"/>
      <c r="D178" s="15"/>
      <c r="E178" s="17"/>
      <c r="F178" s="12"/>
    </row>
    <row r="179" spans="1:6" x14ac:dyDescent="0.3">
      <c r="A179" s="14"/>
      <c r="B179" s="15"/>
      <c r="C179" s="16"/>
      <c r="D179" s="15"/>
      <c r="E179" s="17"/>
      <c r="F179" s="12"/>
    </row>
    <row r="180" spans="1:6" x14ac:dyDescent="0.3">
      <c r="A180" s="14"/>
      <c r="B180" s="15"/>
      <c r="C180" s="16"/>
      <c r="D180" s="15"/>
      <c r="E180" s="17"/>
      <c r="F180" s="12"/>
    </row>
    <row r="181" spans="1:6" x14ac:dyDescent="0.3">
      <c r="A181" s="14"/>
      <c r="B181" s="15"/>
      <c r="C181" s="16"/>
      <c r="D181" s="9"/>
      <c r="E181" s="17"/>
      <c r="F181" s="12"/>
    </row>
    <row r="182" spans="1:6" x14ac:dyDescent="0.3">
      <c r="A182" s="14"/>
      <c r="B182" s="15"/>
      <c r="C182" s="16"/>
      <c r="D182" s="15"/>
      <c r="E182" s="17"/>
      <c r="F182" s="12"/>
    </row>
    <row r="183" spans="1:6" x14ac:dyDescent="0.3">
      <c r="A183" s="14"/>
      <c r="B183" s="15"/>
      <c r="C183" s="16"/>
      <c r="D183" s="9"/>
      <c r="E183" s="17"/>
      <c r="F183" s="12"/>
    </row>
    <row r="184" spans="1:6" x14ac:dyDescent="0.3">
      <c r="A184" s="14"/>
      <c r="B184" s="15"/>
      <c r="C184" s="16"/>
      <c r="D184" s="15"/>
      <c r="E184" s="17"/>
      <c r="F184" s="12"/>
    </row>
    <row r="185" spans="1:6" x14ac:dyDescent="0.3">
      <c r="A185" s="14"/>
      <c r="B185" s="15"/>
      <c r="C185" s="16"/>
      <c r="D185" s="15"/>
      <c r="E185" s="17"/>
      <c r="F185" s="12"/>
    </row>
    <row r="186" spans="1:6" x14ac:dyDescent="0.3">
      <c r="A186" s="14"/>
      <c r="B186" s="15"/>
      <c r="C186" s="16"/>
      <c r="D186" s="15"/>
      <c r="E186" s="17"/>
      <c r="F186" s="12"/>
    </row>
    <row r="187" spans="1:6" x14ac:dyDescent="0.3">
      <c r="A187" s="14"/>
      <c r="B187" s="15"/>
      <c r="C187" s="16"/>
      <c r="D187" s="15"/>
      <c r="E187" s="17"/>
      <c r="F187" s="12"/>
    </row>
    <row r="188" spans="1:6" x14ac:dyDescent="0.3">
      <c r="A188" s="14"/>
      <c r="B188" s="15"/>
      <c r="C188" s="16"/>
      <c r="D188" s="15"/>
      <c r="E188" s="17"/>
      <c r="F188" s="12"/>
    </row>
    <row r="189" spans="1:6" x14ac:dyDescent="0.3">
      <c r="A189" s="14"/>
      <c r="B189" s="15"/>
      <c r="C189" s="16"/>
      <c r="D189" s="15"/>
      <c r="E189" s="17"/>
      <c r="F189" s="12"/>
    </row>
    <row r="190" spans="1:6" x14ac:dyDescent="0.3">
      <c r="A190" s="14"/>
      <c r="B190" s="15"/>
      <c r="C190" s="16"/>
      <c r="D190" s="15"/>
      <c r="E190" s="17"/>
      <c r="F190" s="12"/>
    </row>
    <row r="191" spans="1:6" x14ac:dyDescent="0.3">
      <c r="A191" s="14"/>
      <c r="B191" s="15"/>
      <c r="C191" s="16"/>
      <c r="D191" s="15"/>
      <c r="E191" s="17"/>
      <c r="F191" s="12"/>
    </row>
    <row r="192" spans="1:6" x14ac:dyDescent="0.3">
      <c r="A192" s="14"/>
      <c r="B192" s="15"/>
      <c r="C192" s="16"/>
      <c r="D192" s="15"/>
      <c r="E192" s="17"/>
      <c r="F192" s="12"/>
    </row>
    <row r="193" spans="1:6" x14ac:dyDescent="0.3">
      <c r="A193" s="14"/>
      <c r="B193" s="15"/>
      <c r="C193" s="16"/>
      <c r="D193" s="15"/>
      <c r="E193" s="17"/>
      <c r="F193" s="12"/>
    </row>
    <row r="194" spans="1:6" x14ac:dyDescent="0.3">
      <c r="A194" s="14"/>
      <c r="B194" s="15"/>
      <c r="C194" s="16"/>
      <c r="D194" s="15"/>
      <c r="E194" s="17"/>
      <c r="F194" s="12"/>
    </row>
    <row r="195" spans="1:6" x14ac:dyDescent="0.3">
      <c r="A195" s="14"/>
      <c r="B195" s="15"/>
      <c r="C195" s="16"/>
      <c r="D195" s="15"/>
      <c r="E195" s="17"/>
      <c r="F195" s="12"/>
    </row>
    <row r="196" spans="1:6" x14ac:dyDescent="0.3">
      <c r="A196" s="14"/>
      <c r="B196" s="15"/>
      <c r="C196" s="16"/>
      <c r="D196" s="15"/>
      <c r="E196" s="17"/>
      <c r="F196" s="12"/>
    </row>
    <row r="197" spans="1:6" x14ac:dyDescent="0.3">
      <c r="A197" s="14"/>
      <c r="B197" s="15"/>
      <c r="C197" s="16"/>
      <c r="D197" s="15"/>
      <c r="E197" s="17"/>
      <c r="F197" s="12"/>
    </row>
    <row r="198" spans="1:6" x14ac:dyDescent="0.3">
      <c r="A198" s="14"/>
      <c r="B198" s="15"/>
      <c r="C198" s="16"/>
      <c r="D198" s="15"/>
      <c r="E198" s="17"/>
      <c r="F198" s="12"/>
    </row>
    <row r="199" spans="1:6" x14ac:dyDescent="0.3">
      <c r="A199" s="14"/>
      <c r="B199" s="15"/>
      <c r="C199" s="16"/>
      <c r="D199" s="15"/>
      <c r="E199" s="17"/>
      <c r="F199" s="12"/>
    </row>
    <row r="200" spans="1:6" x14ac:dyDescent="0.3">
      <c r="A200" s="14"/>
      <c r="B200" s="15"/>
      <c r="C200" s="16"/>
      <c r="D200" s="15"/>
      <c r="E200" s="17"/>
      <c r="F200" s="12"/>
    </row>
    <row r="201" spans="1:6" x14ac:dyDescent="0.3">
      <c r="A201" s="14"/>
      <c r="B201" s="15"/>
      <c r="C201" s="16"/>
      <c r="D201" s="15"/>
      <c r="E201" s="17"/>
      <c r="F201" s="12"/>
    </row>
    <row r="202" spans="1:6" x14ac:dyDescent="0.3">
      <c r="A202" s="14"/>
      <c r="B202" s="15"/>
      <c r="C202" s="16"/>
      <c r="D202" s="15"/>
      <c r="E202" s="17"/>
      <c r="F202" s="12"/>
    </row>
    <row r="203" spans="1:6" x14ac:dyDescent="0.3">
      <c r="A203" s="14"/>
      <c r="B203" s="15"/>
      <c r="C203" s="16"/>
      <c r="D203" s="15"/>
      <c r="E203" s="17"/>
      <c r="F203" s="12"/>
    </row>
    <row r="204" spans="1:6" x14ac:dyDescent="0.3">
      <c r="A204" s="14"/>
      <c r="B204" s="15"/>
      <c r="C204" s="16"/>
      <c r="D204" s="15"/>
      <c r="E204" s="17"/>
      <c r="F204" s="12"/>
    </row>
    <row r="205" spans="1:6" x14ac:dyDescent="0.3">
      <c r="A205" s="14"/>
      <c r="B205" s="15"/>
      <c r="C205" s="16"/>
      <c r="D205" s="15"/>
      <c r="E205" s="17"/>
      <c r="F205" s="12"/>
    </row>
    <row r="206" spans="1:6" x14ac:dyDescent="0.3">
      <c r="A206" s="14"/>
      <c r="B206" s="15"/>
      <c r="C206" s="16"/>
      <c r="D206" s="15"/>
      <c r="E206" s="17"/>
      <c r="F206" s="12"/>
    </row>
    <row r="207" spans="1:6" x14ac:dyDescent="0.3">
      <c r="A207" s="14"/>
      <c r="B207" s="15"/>
      <c r="C207" s="16"/>
      <c r="D207" s="15"/>
      <c r="E207" s="17"/>
      <c r="F207" s="12"/>
    </row>
    <row r="208" spans="1:6" x14ac:dyDescent="0.3">
      <c r="A208" s="14"/>
      <c r="B208" s="15"/>
      <c r="C208" s="16"/>
      <c r="D208" s="15"/>
      <c r="E208" s="17"/>
      <c r="F208" s="12"/>
    </row>
    <row r="209" spans="1:6" x14ac:dyDescent="0.3">
      <c r="A209" s="14"/>
      <c r="B209" s="15"/>
      <c r="C209" s="16"/>
      <c r="D209" s="15"/>
      <c r="E209" s="17"/>
      <c r="F209" s="12"/>
    </row>
    <row r="210" spans="1:6" x14ac:dyDescent="0.3">
      <c r="A210" s="14"/>
      <c r="B210" s="15"/>
      <c r="C210" s="16"/>
      <c r="D210" s="15"/>
      <c r="E210" s="17"/>
      <c r="F210" s="12"/>
    </row>
    <row r="211" spans="1:6" x14ac:dyDescent="0.3">
      <c r="A211" s="14"/>
      <c r="B211" s="15"/>
      <c r="C211" s="16"/>
      <c r="D211" s="15"/>
      <c r="E211" s="17"/>
      <c r="F211" s="12"/>
    </row>
    <row r="212" spans="1:6" x14ac:dyDescent="0.3">
      <c r="A212" s="14"/>
      <c r="B212" s="15"/>
      <c r="C212" s="16"/>
      <c r="D212" s="15"/>
      <c r="E212" s="17"/>
      <c r="F212" s="12"/>
    </row>
    <row r="213" spans="1:6" x14ac:dyDescent="0.3">
      <c r="A213" s="14"/>
      <c r="B213" s="15"/>
      <c r="C213" s="16"/>
      <c r="D213" s="15"/>
      <c r="E213" s="17"/>
      <c r="F213" s="12"/>
    </row>
    <row r="214" spans="1:6" x14ac:dyDescent="0.3">
      <c r="A214" s="14"/>
      <c r="B214" s="15"/>
      <c r="C214" s="16"/>
      <c r="D214" s="15"/>
      <c r="E214" s="17"/>
      <c r="F214" s="12"/>
    </row>
    <row r="215" spans="1:6" x14ac:dyDescent="0.3">
      <c r="A215" s="14"/>
      <c r="B215" s="15"/>
      <c r="C215" s="16"/>
      <c r="D215" s="15"/>
      <c r="E215" s="17"/>
      <c r="F215" s="12"/>
    </row>
    <row r="216" spans="1:6" x14ac:dyDescent="0.3">
      <c r="A216" s="14"/>
      <c r="B216" s="15"/>
      <c r="C216" s="16"/>
      <c r="D216" s="15"/>
      <c r="E216" s="17"/>
      <c r="F216" s="12"/>
    </row>
    <row r="217" spans="1:6" x14ac:dyDescent="0.3">
      <c r="A217" s="14"/>
      <c r="B217" s="15"/>
      <c r="C217" s="16"/>
      <c r="D217" s="15"/>
      <c r="E217" s="17"/>
      <c r="F217" s="12"/>
    </row>
    <row r="218" spans="1:6" x14ac:dyDescent="0.3">
      <c r="A218" s="14"/>
      <c r="B218" s="15"/>
      <c r="C218" s="16"/>
      <c r="D218" s="15"/>
      <c r="E218" s="17"/>
      <c r="F218" s="12"/>
    </row>
    <row r="219" spans="1:6" x14ac:dyDescent="0.3">
      <c r="A219" s="14"/>
      <c r="B219" s="15"/>
      <c r="C219" s="16"/>
      <c r="D219" s="15"/>
      <c r="E219" s="17"/>
      <c r="F219" s="12"/>
    </row>
    <row r="220" spans="1:6" x14ac:dyDescent="0.3">
      <c r="A220" s="14"/>
      <c r="B220" s="15"/>
      <c r="C220" s="16"/>
      <c r="D220" s="15"/>
      <c r="E220" s="17"/>
      <c r="F220" s="12"/>
    </row>
    <row r="221" spans="1:6" x14ac:dyDescent="0.3">
      <c r="A221" s="14"/>
      <c r="B221" s="15"/>
      <c r="C221" s="16"/>
      <c r="D221" s="15"/>
      <c r="E221" s="17"/>
      <c r="F221" s="12"/>
    </row>
    <row r="222" spans="1:6" x14ac:dyDescent="0.3">
      <c r="A222" s="14"/>
      <c r="B222" s="15"/>
      <c r="C222" s="16"/>
      <c r="D222" s="15"/>
      <c r="E222" s="17"/>
      <c r="F222" s="12"/>
    </row>
    <row r="223" spans="1:6" x14ac:dyDescent="0.3">
      <c r="A223" s="14"/>
      <c r="B223" s="15"/>
      <c r="C223" s="16"/>
      <c r="D223" s="15"/>
      <c r="E223" s="17"/>
      <c r="F223" s="12"/>
    </row>
    <row r="224" spans="1:6" x14ac:dyDescent="0.3">
      <c r="A224" s="14"/>
      <c r="B224" s="15"/>
      <c r="C224" s="16"/>
      <c r="D224" s="15"/>
      <c r="E224" s="17"/>
      <c r="F224" s="12"/>
    </row>
    <row r="225" spans="1:6" x14ac:dyDescent="0.3">
      <c r="A225" s="14"/>
      <c r="B225" s="15"/>
      <c r="C225" s="16"/>
      <c r="D225" s="15"/>
      <c r="E225" s="17"/>
      <c r="F225" s="12"/>
    </row>
    <row r="226" spans="1:6" x14ac:dyDescent="0.3">
      <c r="A226" s="14"/>
      <c r="B226" s="15"/>
      <c r="C226" s="16"/>
      <c r="D226" s="15"/>
      <c r="E226" s="17"/>
      <c r="F226" s="12"/>
    </row>
    <row r="227" spans="1:6" x14ac:dyDescent="0.3">
      <c r="A227" s="14"/>
      <c r="B227" s="15"/>
      <c r="C227" s="16"/>
      <c r="D227" s="15"/>
      <c r="E227" s="17"/>
      <c r="F227" s="12"/>
    </row>
    <row r="228" spans="1:6" x14ac:dyDescent="0.3">
      <c r="A228" s="14"/>
      <c r="B228" s="15"/>
      <c r="C228" s="16"/>
      <c r="D228" s="15"/>
      <c r="E228" s="17"/>
      <c r="F228" s="12"/>
    </row>
    <row r="229" spans="1:6" x14ac:dyDescent="0.3">
      <c r="A229" s="14"/>
      <c r="B229" s="15"/>
      <c r="C229" s="16"/>
      <c r="D229" s="15"/>
      <c r="E229" s="17"/>
      <c r="F229" s="12"/>
    </row>
    <row r="230" spans="1:6" x14ac:dyDescent="0.3">
      <c r="A230" s="14"/>
      <c r="B230" s="15"/>
      <c r="C230" s="16"/>
      <c r="D230" s="15"/>
      <c r="E230" s="17"/>
      <c r="F230" s="12"/>
    </row>
    <row r="231" spans="1:6" x14ac:dyDescent="0.3">
      <c r="A231" s="14"/>
      <c r="B231" s="15"/>
      <c r="C231" s="16"/>
      <c r="D231" s="15"/>
      <c r="E231" s="17"/>
      <c r="F231" s="12"/>
    </row>
    <row r="232" spans="1:6" x14ac:dyDescent="0.3">
      <c r="A232" s="14"/>
      <c r="B232" s="15"/>
      <c r="C232" s="16"/>
      <c r="D232" s="15"/>
      <c r="E232" s="17"/>
      <c r="F232" s="12"/>
    </row>
    <row r="233" spans="1:6" x14ac:dyDescent="0.3">
      <c r="A233" s="14"/>
      <c r="B233" s="15"/>
      <c r="C233" s="16"/>
      <c r="D233" s="15"/>
      <c r="E233" s="17"/>
      <c r="F233" s="12"/>
    </row>
    <row r="234" spans="1:6" x14ac:dyDescent="0.3">
      <c r="A234" s="14"/>
      <c r="B234" s="15"/>
      <c r="C234" s="16"/>
      <c r="D234" s="15"/>
      <c r="E234" s="17"/>
      <c r="F234" s="12"/>
    </row>
    <row r="235" spans="1:6" x14ac:dyDescent="0.3">
      <c r="A235" s="14"/>
      <c r="B235" s="15"/>
      <c r="C235" s="16"/>
      <c r="D235" s="15"/>
      <c r="E235" s="17"/>
      <c r="F235" s="12"/>
    </row>
    <row r="236" spans="1:6" x14ac:dyDescent="0.3">
      <c r="A236" s="14"/>
      <c r="B236" s="15"/>
      <c r="C236" s="16"/>
      <c r="D236" s="15"/>
      <c r="E236" s="17"/>
      <c r="F236" s="12"/>
    </row>
    <row r="237" spans="1:6" x14ac:dyDescent="0.3">
      <c r="A237" s="14"/>
      <c r="B237" s="15"/>
      <c r="C237" s="16"/>
      <c r="D237" s="15"/>
      <c r="E237" s="17"/>
      <c r="F237" s="12"/>
    </row>
    <row r="238" spans="1:6" x14ac:dyDescent="0.3">
      <c r="A238" s="14"/>
      <c r="B238" s="15"/>
      <c r="C238" s="16"/>
      <c r="D238" s="15"/>
      <c r="E238" s="17"/>
      <c r="F238" s="12"/>
    </row>
    <row r="239" spans="1:6" x14ac:dyDescent="0.3">
      <c r="A239" s="14"/>
      <c r="B239" s="15"/>
      <c r="C239" s="16"/>
      <c r="D239" s="15"/>
      <c r="E239" s="17"/>
      <c r="F239" s="12"/>
    </row>
    <row r="240" spans="1:6" x14ac:dyDescent="0.3">
      <c r="A240" s="14"/>
      <c r="B240" s="15"/>
      <c r="C240" s="16"/>
      <c r="D240" s="15"/>
      <c r="E240" s="17"/>
      <c r="F240" s="12"/>
    </row>
    <row r="241" spans="1:6" x14ac:dyDescent="0.3">
      <c r="A241" s="14"/>
      <c r="B241" s="15"/>
      <c r="C241" s="16"/>
      <c r="D241" s="15"/>
      <c r="E241" s="17"/>
      <c r="F241" s="12"/>
    </row>
    <row r="242" spans="1:6" x14ac:dyDescent="0.3">
      <c r="A242" s="14"/>
      <c r="B242" s="15"/>
      <c r="C242" s="16"/>
      <c r="D242" s="15"/>
      <c r="E242" s="17"/>
      <c r="F242" s="12"/>
    </row>
    <row r="243" spans="1:6" x14ac:dyDescent="0.3">
      <c r="A243" s="14"/>
      <c r="B243" s="15"/>
      <c r="C243" s="16"/>
      <c r="D243" s="15"/>
      <c r="E243" s="17"/>
      <c r="F243" s="12"/>
    </row>
    <row r="244" spans="1:6" x14ac:dyDescent="0.3">
      <c r="A244" s="14"/>
      <c r="B244" s="15"/>
      <c r="C244" s="16"/>
      <c r="D244" s="15"/>
      <c r="E244" s="17"/>
      <c r="F244" s="12"/>
    </row>
    <row r="245" spans="1:6" x14ac:dyDescent="0.3">
      <c r="A245" s="14"/>
      <c r="B245" s="15"/>
      <c r="C245" s="16"/>
      <c r="D245" s="15"/>
      <c r="E245" s="17"/>
      <c r="F245" s="12"/>
    </row>
    <row r="246" spans="1:6" x14ac:dyDescent="0.3">
      <c r="A246" s="14"/>
      <c r="B246" s="15"/>
      <c r="C246" s="16"/>
      <c r="D246" s="15"/>
      <c r="E246" s="17"/>
      <c r="F246" s="12"/>
    </row>
    <row r="247" spans="1:6" x14ac:dyDescent="0.3">
      <c r="A247" s="14"/>
      <c r="B247" s="15"/>
      <c r="C247" s="16"/>
      <c r="D247" s="15"/>
      <c r="E247" s="17"/>
      <c r="F247" s="12"/>
    </row>
    <row r="248" spans="1:6" ht="15" thickBot="1" x14ac:dyDescent="0.35">
      <c r="A248" s="14"/>
      <c r="B248" s="15"/>
      <c r="C248" s="16"/>
      <c r="D248" s="15"/>
      <c r="E248" s="17"/>
      <c r="F248" s="12"/>
    </row>
    <row r="249" spans="1:6" ht="15" thickBot="1" x14ac:dyDescent="0.35">
      <c r="A249" s="138" t="s">
        <v>6</v>
      </c>
      <c r="B249" s="139"/>
      <c r="C249" s="18">
        <f>SUM(C2:C248)</f>
        <v>1157103.4099999999</v>
      </c>
      <c r="D249" s="19"/>
      <c r="E249" s="20"/>
      <c r="F249" s="3"/>
    </row>
    <row r="250" spans="1:6" ht="15" thickBot="1" x14ac:dyDescent="0.35">
      <c r="A250" s="138" t="s">
        <v>8</v>
      </c>
      <c r="B250" s="139"/>
      <c r="C250" s="18">
        <v>948000</v>
      </c>
      <c r="D250" s="38">
        <v>1300000</v>
      </c>
      <c r="E250" s="18"/>
      <c r="F250" s="3"/>
    </row>
    <row r="251" spans="1:6" ht="15" thickBot="1" x14ac:dyDescent="0.35">
      <c r="A251" s="138" t="s">
        <v>7</v>
      </c>
      <c r="B251" s="139"/>
      <c r="C251" s="18">
        <f>C250-C249</f>
        <v>-209103.40999999992</v>
      </c>
      <c r="D251" s="38">
        <f>D250-C249</f>
        <v>142896.59000000008</v>
      </c>
      <c r="E251" s="18"/>
      <c r="F251" s="3"/>
    </row>
  </sheetData>
  <autoFilter ref="A1:F243" xr:uid="{AFF50047-F45E-4826-B627-9667DEC3EC94}">
    <sortState xmlns:xlrd2="http://schemas.microsoft.com/office/spreadsheetml/2017/richdata2" ref="A2:F243">
      <sortCondition ref="E1:E243"/>
    </sortState>
  </autoFilter>
  <mergeCells count="3">
    <mergeCell ref="A249:B249"/>
    <mergeCell ref="A250:B250"/>
    <mergeCell ref="A251:B2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META ANUAL</vt:lpstr>
      <vt:lpstr>MAIO</vt:lpstr>
      <vt:lpstr>ABRIL</vt:lpstr>
      <vt:lpstr>MARÇO</vt:lpstr>
      <vt:lpstr>FEVEREIRO</vt:lpstr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Criffer</dc:creator>
  <cp:lastModifiedBy>Gabriel da Silva Klein</cp:lastModifiedBy>
  <dcterms:created xsi:type="dcterms:W3CDTF">2025-06-02T12:33:10Z</dcterms:created>
  <dcterms:modified xsi:type="dcterms:W3CDTF">2026-05-28T12:07:29Z</dcterms:modified>
</cp:coreProperties>
</file>