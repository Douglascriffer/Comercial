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Y:\.SAP VENDA\"/>
    </mc:Choice>
  </mc:AlternateContent>
  <xr:revisionPtr revIDLastSave="0" documentId="13_ncr:1_{3D99D081-65F2-4597-AFD7-68DE66E07920}" xr6:coauthVersionLast="47" xr6:coauthVersionMax="47" xr10:uidLastSave="{00000000-0000-0000-0000-000000000000}"/>
  <bookViews>
    <workbookView xWindow="-108" yWindow="-108" windowWidth="23256" windowHeight="12456" activeTab="6" xr2:uid="{141559A8-6628-4651-B58C-BEAC07E7B4F5}"/>
  </bookViews>
  <sheets>
    <sheet name="DEZEMBRO" sheetId="7" r:id="rId1"/>
    <sheet name="NOVEMBRO" sheetId="6" r:id="rId2"/>
    <sheet name="OUTUBRO" sheetId="5" r:id="rId3"/>
    <sheet name="SETEMBRO" sheetId="4" r:id="rId4"/>
    <sheet name="AGOSTO" sheetId="3" r:id="rId5"/>
    <sheet name="JULHO" sheetId="2" r:id="rId6"/>
    <sheet name="JUNHO" sheetId="1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4" i="1" l="1"/>
  <c r="H5" i="1" a="1"/>
  <c r="D11" i="1" l="1"/>
  <c r="H1" i="1" s="1"/>
  <c r="K2" i="1" s="1"/>
  <c r="J2" i="1" l="1"/>
  <c r="H3" i="1"/>
  <c r="H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<sst xmlns="http://schemas.openxmlformats.org/spreadsheetml/2006/main" count="22" uniqueCount="20">
  <si>
    <t>Faturado</t>
  </si>
  <si>
    <t xml:space="preserve">Serviço Aprovado </t>
  </si>
  <si>
    <t>ok</t>
  </si>
  <si>
    <t>Analise</t>
  </si>
  <si>
    <t>Aguardando</t>
  </si>
  <si>
    <t>Cliente Retira</t>
  </si>
  <si>
    <t>Revisar se o cliente foi informado</t>
  </si>
  <si>
    <t>Solicitação de entrada</t>
  </si>
  <si>
    <t>Revisar</t>
  </si>
  <si>
    <t>Entrada pagamento</t>
  </si>
  <si>
    <t>Aguardando Faturamento</t>
  </si>
  <si>
    <t>Retornado Pendencia</t>
  </si>
  <si>
    <t>Total Previsto + Faturado</t>
  </si>
  <si>
    <t>TOTAL</t>
  </si>
  <si>
    <t>META EMPRESA</t>
  </si>
  <si>
    <t>META NOSSA</t>
  </si>
  <si>
    <t>META EMPRESA/NOSSA</t>
  </si>
  <si>
    <t>VALOR RESTANTE</t>
  </si>
  <si>
    <t>Necessário por dia</t>
  </si>
  <si>
    <t>Média/dia até 02/06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</si>
</sst>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&quot;R$&quot;\ #,##0.00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44" fontId="0" fillId="0" borderId="0" xfId="1" applyFont="1"/>
    <xf numFmtId="44" fontId="0" fillId="0" borderId="0" xfId="0" applyNumberFormat="1"/>
    <xf numFmtId="0" fontId="2" fillId="0" borderId="1" xfId="0" applyFont="1" applyBorder="1" applyAlignment="1">
      <alignment horizontal="center" vertical="center"/>
    </xf>
    <xf numFmtId="4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/>
    <xf numFmtId="0" fontId="2" fillId="0" borderId="2" xfId="0" applyFont="1" applyBorder="1" applyAlignment="1">
      <alignment horizontal="center" vertical="center"/>
    </xf>
    <xf numFmtId="44" fontId="2" fillId="0" borderId="3" xfId="1" applyFont="1" applyBorder="1" applyAlignment="1">
      <alignment horizontal="center" vertical="center"/>
    </xf>
    <xf numFmtId="10" fontId="2" fillId="0" borderId="1" xfId="0" applyNumberFormat="1" applyFont="1" applyBorder="1"/>
    <xf numFmtId="44" fontId="2" fillId="0" borderId="4" xfId="1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44" fontId="2" fillId="0" borderId="5" xfId="0" applyNumberFormat="1" applyFont="1" applyBorder="1"/>
    <xf numFmtId="164" fontId="2" fillId="0" borderId="5" xfId="0" applyNumberFormat="1" applyFont="1" applyBorder="1"/>
    <xf numFmtId="0" fontId="3" fillId="0" borderId="0" xfId="0" applyFont="1"/>
    <xf numFmtId="44" fontId="3" fillId="0" borderId="0" xfId="0" applyNumberFormat="1" applyFont="1"/>
    <xf numFmtId="0" fontId="0" fillId="0" borderId="6" xfId="0" applyBorder="1"/>
    <xf numFmtId="44" fontId="0" fillId="0" borderId="7" xfId="1" applyFont="1" applyBorder="1"/>
    <xf numFmtId="0" fontId="0" fillId="0" borderId="8" xfId="0" applyBorder="1"/>
    <xf numFmtId="0" fontId="0" fillId="0" borderId="9" xfId="0" applyBorder="1"/>
    <xf numFmtId="44" fontId="0" fillId="0" borderId="0" xfId="1" applyFont="1" applyBorder="1"/>
    <xf numFmtId="0" fontId="0" fillId="0" borderId="10" xfId="0" applyBorder="1"/>
    <xf numFmtId="0" fontId="0" fillId="0" borderId="11" xfId="0" applyBorder="1"/>
    <xf numFmtId="44" fontId="0" fillId="0" borderId="12" xfId="1" applyFont="1" applyBorder="1"/>
    <xf numFmtId="0" fontId="0" fillId="0" borderId="13" xfId="0" applyBorder="1"/>
    <xf numFmtId="0" fontId="4" fillId="0" borderId="0" xfId="0" applyFont="1"/>
    <xf numFmtId="44" fontId="4" fillId="0" borderId="0" xfId="0" applyNumberFormat="1" applyFont="1"/>
    <xf numFmtId="0" fontId="0" fillId="0" borderId="0" xfId="0" applyAlignment="1">
      <alignment horizont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66F77-C1B7-4378-A6A0-79470A47FACC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2229C-853F-4CCB-984C-E4F368AC6AD0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F0561-DAD5-4364-A1F6-90186C84490E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318C7-9889-4ACE-9B21-E0DD5356F621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67660-38EE-47CF-8798-73D4319B9CEA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4696A-69DC-4060-B40D-76A7C2FE98DA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E802B-F536-4AAB-91DA-688C88C9E9F7}">
  <dimension ref="C1:K37"/>
  <sheetViews>
    <sheetView tabSelected="1" topLeftCell="A6" workbookViewId="0">
      <selection activeCell="G19" sqref="G19"/>
    </sheetView>
  </sheetViews>
  <sheetFormatPr defaultRowHeight="14.4" x14ac:dyDescent="0.3"/>
  <cols>
    <col min="3" max="4" width="24" bestFit="1" customWidth="1"/>
    <col min="5" max="5" width="30.88671875" bestFit="1" customWidth="1"/>
    <col min="6" max="6" width="5.88671875" customWidth="1"/>
    <col min="7" max="7" width="22.33203125" bestFit="1" customWidth="1"/>
    <col min="8" max="9" width="16" bestFit="1" customWidth="1"/>
    <col min="10" max="10" width="15" bestFit="1" customWidth="1"/>
    <col min="11" max="11" width="12.5546875" bestFit="1" customWidth="1"/>
    <col min="12" max="15" width="14.33203125" bestFit="1" customWidth="1"/>
    <col min="16" max="16" width="16" bestFit="1" customWidth="1"/>
  </cols>
  <sheetData>
    <row r="1" spans="3:11" ht="15" thickBot="1" x14ac:dyDescent="0.35">
      <c r="D1" s="1"/>
      <c r="G1" s="3" t="s">
        <v>13</v>
      </c>
      <c r="H1" s="4">
        <f>D11</f>
        <v>366522.15</v>
      </c>
      <c r="J1" s="5" t="s">
        <v>14</v>
      </c>
      <c r="K1" s="5" t="s">
        <v>15</v>
      </c>
    </row>
    <row r="2" spans="3:11" ht="15" thickBot="1" x14ac:dyDescent="0.35">
      <c r="C2" s="15" t="s">
        <v>1</v>
      </c>
      <c r="D2" s="16">
        <v>120682.15</v>
      </c>
      <c r="E2" s="17" t="s">
        <v>2</v>
      </c>
      <c r="G2" s="6" t="s">
        <v>16</v>
      </c>
      <c r="H2" s="4">
        <v>248000</v>
      </c>
      <c r="I2" s="7">
        <v>500000</v>
      </c>
      <c r="J2" s="8">
        <f>SUM(H1/H2)</f>
        <v>1.4779118951612904</v>
      </c>
      <c r="K2" s="8">
        <f>SUM(H1/I2)</f>
        <v>0.73304430000000009</v>
      </c>
    </row>
    <row r="3" spans="3:11" ht="15" thickBot="1" x14ac:dyDescent="0.35">
      <c r="C3" s="18" t="s">
        <v>3</v>
      </c>
      <c r="D3" s="19">
        <v>0</v>
      </c>
      <c r="E3" s="20" t="s">
        <v>4</v>
      </c>
      <c r="G3" s="3" t="s">
        <v>17</v>
      </c>
      <c r="H3" s="4">
        <f>H2-H1</f>
        <v>-118522.15000000002</v>
      </c>
      <c r="I3" s="9">
        <v>266376.59999999998</v>
      </c>
    </row>
    <row r="4" spans="3:11" ht="15" thickBot="1" x14ac:dyDescent="0.35">
      <c r="C4" s="18" t="s">
        <v>5</v>
      </c>
      <c r="D4" s="19"/>
      <c r="E4" s="20" t="s">
        <v>6</v>
      </c>
      <c r="G4" s="10" t="s">
        <v>18</v>
      </c>
      <c r="H4" s="11">
        <f>H2/21</f>
        <v>11809.523809523809</v>
      </c>
      <c r="I4" s="11">
        <v>19227.23</v>
      </c>
      <c r="J4" s="10">
        <v>8</v>
      </c>
    </row>
    <row r="5" spans="3:11" ht="15" thickBot="1" x14ac:dyDescent="0.35">
      <c r="C5" s="18" t="s">
        <v>7</v>
      </c>
      <c r="D5" s="19">
        <v>7148</v>
      </c>
      <c r="E5" s="20" t="s">
        <v>8</v>
      </c>
      <c r="G5" s="3" t="s">
        <v>19</v>
      </c>
      <c r="H5" s="12" cm="1">
        <f t="array" ref="H5">SUM(I9:I28/2)</f>
        <v>0</v>
      </c>
    </row>
    <row r="6" spans="3:11" x14ac:dyDescent="0.3">
      <c r="C6" s="18" t="s">
        <v>9</v>
      </c>
      <c r="D6" s="19">
        <v>0</v>
      </c>
      <c r="E6" s="20" t="s">
        <v>2</v>
      </c>
    </row>
    <row r="7" spans="3:11" x14ac:dyDescent="0.3">
      <c r="C7" s="18" t="s">
        <v>10</v>
      </c>
      <c r="D7" s="19">
        <v>26119.8</v>
      </c>
      <c r="E7" s="20" t="s">
        <v>2</v>
      </c>
    </row>
    <row r="8" spans="3:11" ht="15" thickBot="1" x14ac:dyDescent="0.35">
      <c r="C8" s="21" t="s">
        <v>11</v>
      </c>
      <c r="D8" s="22">
        <v>0</v>
      </c>
      <c r="E8" s="23"/>
    </row>
    <row r="11" spans="3:11" x14ac:dyDescent="0.3">
      <c r="C11" s="13" t="s">
        <v>12</v>
      </c>
      <c r="D11" s="14">
        <f>D2+D7+D6+D13</f>
        <v>366522.15</v>
      </c>
      <c r="E11" s="2"/>
      <c r="F11" s="1"/>
    </row>
    <row r="12" spans="3:11" x14ac:dyDescent="0.3">
      <c r="F12" s="2"/>
    </row>
    <row r="13" spans="3:11" ht="21" x14ac:dyDescent="0.4">
      <c r="C13" s="24" t="s">
        <v>0</v>
      </c>
      <c r="D13" s="25">
        <v>219720.2</v>
      </c>
      <c r="F13" s="2"/>
      <c r="G13" s="1"/>
    </row>
    <row r="18" spans="6:10" x14ac:dyDescent="0.3">
      <c r="G18" s="26"/>
      <c r="H18" s="26"/>
    </row>
    <row r="19" spans="6:10" x14ac:dyDescent="0.3">
      <c r="F19" s="1"/>
      <c r="H19" s="2"/>
    </row>
    <row r="20" spans="6:10" x14ac:dyDescent="0.3">
      <c r="F20" s="1"/>
      <c r="H20" s="2"/>
    </row>
    <row r="21" spans="6:10" x14ac:dyDescent="0.3">
      <c r="F21" s="1"/>
      <c r="H21" s="2"/>
    </row>
    <row r="22" spans="6:10" x14ac:dyDescent="0.3">
      <c r="F22" s="1"/>
    </row>
    <row r="23" spans="6:10" x14ac:dyDescent="0.3">
      <c r="F23" s="1"/>
    </row>
    <row r="24" spans="6:10" x14ac:dyDescent="0.3">
      <c r="F24" s="1"/>
      <c r="G24" s="26"/>
      <c r="H24" s="26"/>
    </row>
    <row r="25" spans="6:10" x14ac:dyDescent="0.3">
      <c r="F25" s="1"/>
      <c r="H25" s="2"/>
      <c r="I25" s="2"/>
      <c r="J25" s="2"/>
    </row>
    <row r="26" spans="6:10" x14ac:dyDescent="0.3">
      <c r="F26" s="1"/>
      <c r="H26" s="2"/>
    </row>
    <row r="27" spans="6:10" x14ac:dyDescent="0.3">
      <c r="F27" s="1"/>
    </row>
    <row r="30" spans="6:10" x14ac:dyDescent="0.3">
      <c r="F30" s="1"/>
      <c r="H30" s="2"/>
    </row>
    <row r="31" spans="6:10" x14ac:dyDescent="0.3">
      <c r="F31" s="1"/>
    </row>
    <row r="32" spans="6:10" x14ac:dyDescent="0.3">
      <c r="F32" s="1"/>
    </row>
    <row r="33" spans="6:7" x14ac:dyDescent="0.3">
      <c r="F33" s="1"/>
    </row>
    <row r="35" spans="6:7" x14ac:dyDescent="0.3">
      <c r="F35" s="1"/>
      <c r="G35" s="1"/>
    </row>
    <row r="36" spans="6:7" x14ac:dyDescent="0.3">
      <c r="F36" s="1"/>
      <c r="G36" s="1"/>
    </row>
    <row r="37" spans="6:7" x14ac:dyDescent="0.3">
      <c r="F37" s="1"/>
      <c r="G37" s="1"/>
    </row>
  </sheetData>
  <mergeCells count="2">
    <mergeCell ref="G18:H18"/>
    <mergeCell ref="G24:H24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DEZEMBRO</vt:lpstr>
      <vt:lpstr>NOVEMBRO</vt:lpstr>
      <vt:lpstr>OUTUBRO</vt:lpstr>
      <vt:lpstr>SETEMBRO</vt:lpstr>
      <vt:lpstr>AGOSTO</vt:lpstr>
      <vt:lpstr>JULHO</vt:lpstr>
      <vt:lpstr>JUNHO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Dias</dc:creator>
  <cp:lastModifiedBy>Gabriel de Medeiros</cp:lastModifiedBy>
  <dcterms:created xsi:type="dcterms:W3CDTF">2026-06-02T12:51:36Z</dcterms:created>
  <dcterms:modified xsi:type="dcterms:W3CDTF">2026-06-19T16:32:32Z</dcterms:modified>
</cp:coreProperties>
</file>