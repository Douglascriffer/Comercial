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Y:\.SAP VENDA\"/>
    </mc:Choice>
  </mc:AlternateContent>
  <xr:revisionPtr revIDLastSave="0" documentId="13_ncr:1_{611C524E-BCE5-4DAA-A45F-9C2E1BD61AA4}" xr6:coauthVersionLast="47" xr6:coauthVersionMax="47" xr10:uidLastSave="{00000000-0000-0000-0000-000000000000}"/>
  <bookViews>
    <workbookView xWindow="3465" yWindow="3465" windowWidth="21600" windowHeight="11235" activeTab="6" xr2:uid="{BDC32B0F-602D-43AD-BD6A-889B6E056D2B}"/>
  </bookViews>
  <sheets>
    <sheet name="DEZEMBRO" sheetId="13" r:id="rId1"/>
    <sheet name="NOVEMBRO" sheetId="12" r:id="rId2"/>
    <sheet name="OUTUBRO" sheetId="11" r:id="rId3"/>
    <sheet name="SETEMBRO" sheetId="10" r:id="rId4"/>
    <sheet name="AGOSTO" sheetId="9" r:id="rId5"/>
    <sheet name="JULHO" sheetId="8" r:id="rId6"/>
    <sheet name="JUNHO" sheetId="7" r:id="rId7"/>
    <sheet name="MAIO" sheetId="6" r:id="rId8"/>
  </sheets>
  <definedNames>
    <definedName name="_xlnm._FilterDatabase" localSheetId="7" hidden="1">MAIO!$A$1:$F$65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7" l="1"/>
  <c r="I21" i="7"/>
  <c r="K21" i="7" s="1"/>
  <c r="I20" i="7"/>
  <c r="K20" i="7" s="1"/>
  <c r="I19" i="7"/>
  <c r="K19" i="7" s="1"/>
  <c r="I18" i="7"/>
  <c r="K18" i="7" s="1"/>
  <c r="I10" i="7"/>
  <c r="I17" i="7"/>
  <c r="K17" i="7" s="1"/>
  <c r="K24" i="7"/>
  <c r="K23" i="7"/>
  <c r="K22" i="7"/>
  <c r="K16" i="7"/>
  <c r="K25" i="7"/>
  <c r="K26" i="7"/>
  <c r="K27" i="7"/>
  <c r="K28" i="7"/>
  <c r="K29" i="7"/>
  <c r="K30" i="7"/>
  <c r="H4" i="7"/>
  <c r="I16" i="7"/>
  <c r="I15" i="7"/>
  <c r="K15" i="7" s="1"/>
  <c r="I14" i="7"/>
  <c r="K14" i="7" s="1"/>
  <c r="I13" i="7"/>
  <c r="K13" i="7" s="1"/>
  <c r="I12" i="7"/>
  <c r="K12" i="7" s="1"/>
  <c r="I11" i="7"/>
  <c r="K11" i="7" s="1"/>
  <c r="C66" i="6"/>
  <c r="C80" i="7"/>
  <c r="D82" i="7" s="1"/>
  <c r="K2" i="7" l="1"/>
  <c r="H5" i="7" a="1"/>
  <c r="H3" i="7"/>
  <c r="I3" i="7"/>
  <c r="K10" i="7"/>
  <c r="L10" i="7" s="1"/>
  <c r="C82" i="7"/>
  <c r="J2" i="7"/>
  <c r="I10" i="6"/>
  <c r="K10" i="6" s="1"/>
  <c r="I11" i="6"/>
  <c r="K11" i="6" s="1"/>
  <c r="I12" i="6"/>
  <c r="K12" i="6" s="1"/>
  <c r="I13" i="6"/>
  <c r="K13" i="6" s="1"/>
  <c r="I14" i="6"/>
  <c r="K14" i="6" s="1"/>
  <c r="I15" i="6"/>
  <c r="I16" i="6"/>
  <c r="I17" i="6"/>
  <c r="K17" i="6" s="1"/>
  <c r="I18" i="6"/>
  <c r="I19" i="6"/>
  <c r="K19" i="6" s="1"/>
  <c r="I20" i="6"/>
  <c r="I21" i="6"/>
  <c r="I22" i="6"/>
  <c r="K22" i="6" s="1"/>
  <c r="I23" i="6"/>
  <c r="I24" i="6"/>
  <c r="K24" i="6" s="1"/>
  <c r="I25" i="6"/>
  <c r="K25" i="6" s="1"/>
  <c r="I26" i="6"/>
  <c r="I27" i="6"/>
  <c r="K27" i="6" s="1"/>
  <c r="K28" i="6"/>
  <c r="H1" i="6"/>
  <c r="I3" i="6" s="1"/>
  <c r="H4" i="6"/>
  <c r="D68" i="6"/>
  <c r="K29" i="6"/>
  <c r="K26" i="6" l="1"/>
  <c r="H5" i="6" a="1"/>
  <c r="K16" i="6"/>
  <c r="K23" i="6"/>
  <c r="J2" i="6"/>
  <c r="K2" i="6"/>
  <c r="K21" i="6"/>
  <c r="K20" i="6"/>
  <c r="K18" i="6"/>
  <c r="K15" i="6"/>
  <c r="H3" i="6"/>
  <c r="C68" i="6"/>
  <c r="L10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<sst xmlns="http://schemas.openxmlformats.org/spreadsheetml/2006/main" count="279" uniqueCount="138">
  <si>
    <t>Cliente</t>
  </si>
  <si>
    <t>Valor</t>
  </si>
  <si>
    <t>Vendedor</t>
  </si>
  <si>
    <t>Data</t>
  </si>
  <si>
    <t>Observações</t>
  </si>
  <si>
    <t>TOTAL</t>
  </si>
  <si>
    <t>VALOR RESTANTE</t>
  </si>
  <si>
    <t>META EMPRESA</t>
  </si>
  <si>
    <t>Necessário por dia</t>
  </si>
  <si>
    <t>22 dias úteis</t>
  </si>
  <si>
    <t>VENDAS/DIA</t>
  </si>
  <si>
    <t>DIA</t>
  </si>
  <si>
    <t>VALOR</t>
  </si>
  <si>
    <t>DIFERENÇA</t>
  </si>
  <si>
    <t>SALDO ATUAL</t>
  </si>
  <si>
    <t>META NOSSA</t>
  </si>
  <si>
    <t>Média/dia até 28/04</t>
  </si>
  <si>
    <t>Josiane</t>
  </si>
  <si>
    <t>VERTICE</t>
  </si>
  <si>
    <t>Contrato</t>
  </si>
  <si>
    <t>J &amp; E REPRESENTACOES</t>
  </si>
  <si>
    <t>G LIBARDI DE SOUZA</t>
  </si>
  <si>
    <t>EDERSON PALHANO</t>
  </si>
  <si>
    <t>G &amp; V AS.ANALISES AMBIENTAIS</t>
  </si>
  <si>
    <t>MG INDUSTRIA COMERCIO</t>
  </si>
  <si>
    <t>MCR CONSULTORIA</t>
  </si>
  <si>
    <t>POAMED</t>
  </si>
  <si>
    <t>TOXIMED</t>
  </si>
  <si>
    <t>CAROLINE CERESER</t>
  </si>
  <si>
    <t>MOREFLEX</t>
  </si>
  <si>
    <t>SOLAE</t>
  </si>
  <si>
    <t>Prorrogação contrato 534</t>
  </si>
  <si>
    <t>INTEGRADA</t>
  </si>
  <si>
    <t>NEXEN</t>
  </si>
  <si>
    <t>VENDA Protemp N/S 11001411</t>
  </si>
  <si>
    <t>SEMETRE</t>
  </si>
  <si>
    <t>PROSEG</t>
  </si>
  <si>
    <t>ARTUR</t>
  </si>
  <si>
    <t>QUANTA</t>
  </si>
  <si>
    <t>MG INDUSTRIA</t>
  </si>
  <si>
    <t>Prorrogação contrato 717</t>
  </si>
  <si>
    <t>Prorrogação contrato 695</t>
  </si>
  <si>
    <t>Prorrogação contrato 438</t>
  </si>
  <si>
    <t>JOÃO TIAGO</t>
  </si>
  <si>
    <t>TARGET AVALIACOES E PERICIAS</t>
  </si>
  <si>
    <t>TATIANO DA FONSECA BARBOSA</t>
  </si>
  <si>
    <t>ETS TREINAMENTOS</t>
  </si>
  <si>
    <t>JACQUES STAROSTA TESSLER</t>
  </si>
  <si>
    <t>40.110.535 VINICIUS MACHADO</t>
  </si>
  <si>
    <t xml:space="preserve">DELTA LABORAL SOLUCOES </t>
  </si>
  <si>
    <t>DUKAS &amp; AZAMBUJA</t>
  </si>
  <si>
    <t>SK1 APOIO ADMINISTRATIVO</t>
  </si>
  <si>
    <t>DALVA ROSA MANSUR</t>
  </si>
  <si>
    <t xml:space="preserve">RENOVA PLASTICOS INDUSTRIA </t>
  </si>
  <si>
    <t>PREVLON CONSULTORIA EM SEG</t>
  </si>
  <si>
    <t>ECOAMBI ENGENHARIA AMB</t>
  </si>
  <si>
    <t>FOCUS SOLUTIONS SERVICOS</t>
  </si>
  <si>
    <t>TAINÁ CORRÊA PARDINI</t>
  </si>
  <si>
    <t>SARA DA SILVA SANTANA</t>
  </si>
  <si>
    <t>FRAS-LE AS</t>
  </si>
  <si>
    <t>PREMIUM MEDICINA E SEG</t>
  </si>
  <si>
    <t xml:space="preserve">VICTOR THOMAZ SANTOS </t>
  </si>
  <si>
    <t xml:space="preserve">CLINICA, LABORATORIO </t>
  </si>
  <si>
    <t xml:space="preserve">TARGET </t>
  </si>
  <si>
    <t xml:space="preserve">DESST </t>
  </si>
  <si>
    <t xml:space="preserve">TATIANO </t>
  </si>
  <si>
    <t xml:space="preserve">54.313.536 WENDER </t>
  </si>
  <si>
    <t xml:space="preserve">OCUPAMED </t>
  </si>
  <si>
    <t xml:space="preserve">G S M </t>
  </si>
  <si>
    <t xml:space="preserve">MINERACAO DE CALCARIO </t>
  </si>
  <si>
    <t xml:space="preserve">ANA CAROLINA BAIA </t>
  </si>
  <si>
    <t xml:space="preserve">CHARLESON SCHMIDT </t>
  </si>
  <si>
    <t>VENDA Sonus + CR-2 N/S 32001508 e 37000702</t>
  </si>
  <si>
    <t>Prorrogação contrato 700 e 709</t>
  </si>
  <si>
    <t xml:space="preserve">VENDA </t>
  </si>
  <si>
    <t xml:space="preserve">ALEXANDRE LUIS </t>
  </si>
  <si>
    <t>COSTAZUL ALIMENTOS</t>
  </si>
  <si>
    <t>CLAUDEMIR DE OLIVEIRA</t>
  </si>
  <si>
    <t>PLBRASIL HEALTH&amp;SAFETY</t>
  </si>
  <si>
    <t>Vanessa</t>
  </si>
  <si>
    <t>ENCOPAV ENGENHARIA</t>
  </si>
  <si>
    <t>Prorrogação contrato 613</t>
  </si>
  <si>
    <t>LEADEC</t>
  </si>
  <si>
    <t xml:space="preserve">LEADEC SER.INDS.DO BRASIL </t>
  </si>
  <si>
    <t>Prorrogação contrato 306</t>
  </si>
  <si>
    <t>Prorrogação contrato 31, 190 e 513 = 674</t>
  </si>
  <si>
    <t>SEVICTA LTDA</t>
  </si>
  <si>
    <t>EDUARDO LIRIA GARDIN</t>
  </si>
  <si>
    <t>CLINICA ATENUAR</t>
  </si>
  <si>
    <t xml:space="preserve">L2R2 GOMES </t>
  </si>
  <si>
    <t>LUIS FELIPE ARNOLD</t>
  </si>
  <si>
    <t>LUIS AUGUSTO BRUM PEREIRA</t>
  </si>
  <si>
    <t>Prorrogação contrato 582</t>
  </si>
  <si>
    <t>Prorrogação contrato 734</t>
  </si>
  <si>
    <t xml:space="preserve">GEO CONSULTORES </t>
  </si>
  <si>
    <t>GUAIBA MEIOAMBIENTE</t>
  </si>
  <si>
    <t>SUMATEX</t>
  </si>
  <si>
    <t xml:space="preserve">SEGEEL ENGENHARIA </t>
  </si>
  <si>
    <t>WK COMERCIO E CONSULTORIA</t>
  </si>
  <si>
    <t xml:space="preserve">Prorg contrato 1688 - 08/12 </t>
  </si>
  <si>
    <t>SOLAE DO BRASIL</t>
  </si>
  <si>
    <t>ENGEMON</t>
  </si>
  <si>
    <t>R$70,00 frete de venda</t>
  </si>
  <si>
    <t>Origem: Rede de Pesquisa</t>
  </si>
  <si>
    <t>APOIO - SISTEMA DE GESTAO</t>
  </si>
  <si>
    <t>21 dias úteis</t>
  </si>
  <si>
    <t xml:space="preserve">MR SERVICOS DE ENGENHARIA </t>
  </si>
  <si>
    <t xml:space="preserve">GCROSS AGROGESTAO </t>
  </si>
  <si>
    <t>FRANCISCO PAULO</t>
  </si>
  <si>
    <t xml:space="preserve">ASSEMETRA ASSESSORIA </t>
  </si>
  <si>
    <t>FM MINERACAO</t>
  </si>
  <si>
    <t>BORCATH SEGURANCA DO TRAB</t>
  </si>
  <si>
    <t>ENGPONTAL ENGENHARIA</t>
  </si>
  <si>
    <t>MONTENO ENGENHARIA</t>
  </si>
  <si>
    <t>VERDE COMPANHIA AMBIENTAL</t>
  </si>
  <si>
    <t xml:space="preserve">VISAO AS.SEG </t>
  </si>
  <si>
    <t>SEBO MARIENSE</t>
  </si>
  <si>
    <t>42.484.225 ANDRESSA</t>
  </si>
  <si>
    <t>Média/dia até 11/06</t>
  </si>
  <si>
    <t xml:space="preserve">LCWM ENGENHARIA E SEGURANCA </t>
  </si>
  <si>
    <t>TRAMONTINA MULTI S/A</t>
  </si>
  <si>
    <t>W3 INDUSTRIAS REUNIDAS</t>
  </si>
  <si>
    <t xml:space="preserve">ALTERO DESIGN </t>
  </si>
  <si>
    <t>GCROSS</t>
  </si>
  <si>
    <t>Prorrogação contrato 766</t>
  </si>
  <si>
    <t xml:space="preserve">Prorrogação contrato 1688 - 09/12 </t>
  </si>
  <si>
    <t>JORGE RICARDO BESSA GARCIA</t>
  </si>
  <si>
    <t>RAFAEL QUINES DA SILVA</t>
  </si>
  <si>
    <t xml:space="preserve">MR SERVICOS </t>
  </si>
  <si>
    <t>CONSEG</t>
  </si>
  <si>
    <t>ANTONIO MARCOS VIANA</t>
  </si>
  <si>
    <t xml:space="preserve">RASIS GESTAO </t>
  </si>
  <si>
    <t>E + Prorrogação contrato 768</t>
  </si>
  <si>
    <t>Prorrogação contrato 681</t>
  </si>
  <si>
    <t xml:space="preserve">confirmar valor e fechar </t>
  </si>
  <si>
    <t xml:space="preserve">PRONTOMED </t>
  </si>
  <si>
    <t>VENDA SONUS N/S - Contrato 780</t>
  </si>
  <si>
    <t>FILIPE SCHMITZ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</si>
</sst>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 style="thin">
        <color theme="5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/>
      <top style="thin">
        <color theme="1"/>
      </top>
      <bottom style="thin">
        <color theme="1"/>
      </bottom>
      <diagonal/>
    </border>
    <border>
      <left style="thin">
        <color theme="5"/>
      </left>
      <right style="thin">
        <color theme="1"/>
      </right>
      <top style="thin">
        <color theme="1"/>
      </top>
      <bottom/>
      <diagonal/>
    </border>
    <border>
      <left style="thin">
        <color theme="5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5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5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44" fontId="0" fillId="0" borderId="0" xfId="0" applyNumberFormat="1"/>
    <xf numFmtId="4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44" fontId="1" fillId="0" borderId="15" xfId="0" applyNumberFormat="1" applyFont="1" applyBorder="1"/>
    <xf numFmtId="44" fontId="1" fillId="0" borderId="2" xfId="1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164" fontId="0" fillId="0" borderId="8" xfId="0" applyNumberFormat="1" applyBorder="1"/>
    <xf numFmtId="0" fontId="0" fillId="0" borderId="20" xfId="0" applyBorder="1"/>
    <xf numFmtId="0" fontId="0" fillId="0" borderId="21" xfId="0" applyBorder="1"/>
    <xf numFmtId="0" fontId="1" fillId="0" borderId="11" xfId="0" applyFont="1" applyBorder="1"/>
    <xf numFmtId="0" fontId="1" fillId="0" borderId="17" xfId="0" applyFont="1" applyBorder="1"/>
    <xf numFmtId="164" fontId="0" fillId="0" borderId="18" xfId="0" applyNumberFormat="1" applyBorder="1"/>
    <xf numFmtId="164" fontId="0" fillId="0" borderId="19" xfId="0" applyNumberFormat="1" applyBorder="1"/>
    <xf numFmtId="0" fontId="1" fillId="0" borderId="1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44" fontId="1" fillId="0" borderId="12" xfId="1" applyFont="1" applyBorder="1" applyAlignment="1">
      <alignment horizontal="center" vertical="center"/>
    </xf>
    <xf numFmtId="44" fontId="1" fillId="0" borderId="17" xfId="0" applyNumberFormat="1" applyFont="1" applyBorder="1" applyAlignment="1">
      <alignment horizontal="center" vertical="center"/>
    </xf>
    <xf numFmtId="0" fontId="0" fillId="0" borderId="24" xfId="0" applyBorder="1"/>
    <xf numFmtId="0" fontId="0" fillId="0" borderId="11" xfId="0" applyBorder="1"/>
    <xf numFmtId="164" fontId="0" fillId="0" borderId="25" xfId="0" applyNumberFormat="1" applyBorder="1"/>
    <xf numFmtId="164" fontId="0" fillId="0" borderId="17" xfId="0" applyNumberFormat="1" applyBorder="1"/>
    <xf numFmtId="164" fontId="1" fillId="0" borderId="15" xfId="0" applyNumberFormat="1" applyFont="1" applyBorder="1"/>
    <xf numFmtId="0" fontId="0" fillId="0" borderId="8" xfId="0" applyBorder="1" applyAlignment="1">
      <alignment horizontal="center"/>
    </xf>
    <xf numFmtId="44" fontId="1" fillId="0" borderId="2" xfId="0" applyNumberFormat="1" applyFont="1" applyBorder="1" applyAlignment="1">
      <alignment horizontal="center"/>
    </xf>
    <xf numFmtId="44" fontId="0" fillId="0" borderId="8" xfId="0" applyNumberFormat="1" applyBorder="1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44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13" xfId="0" applyFill="1" applyBorder="1" applyAlignment="1">
      <alignment horizontal="center"/>
    </xf>
    <xf numFmtId="44" fontId="1" fillId="0" borderId="23" xfId="1" applyFont="1" applyBorder="1" applyAlignment="1">
      <alignment horizontal="center" vertical="center"/>
    </xf>
    <xf numFmtId="9" fontId="1" fillId="0" borderId="17" xfId="0" applyNumberFormat="1" applyFont="1" applyBorder="1"/>
    <xf numFmtId="0" fontId="1" fillId="0" borderId="0" xfId="0" applyFont="1" applyAlignment="1">
      <alignment horizontal="center" vertical="center"/>
    </xf>
    <xf numFmtId="164" fontId="1" fillId="0" borderId="0" xfId="0" applyNumberFormat="1" applyFont="1"/>
    <xf numFmtId="0" fontId="0" fillId="0" borderId="26" xfId="0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0" borderId="37" xfId="0" applyBorder="1" applyAlignment="1">
      <alignment horizontal="center"/>
    </xf>
    <xf numFmtId="44" fontId="0" fillId="0" borderId="31" xfId="0" applyNumberFormat="1" applyBorder="1" applyAlignment="1">
      <alignment horizontal="center"/>
    </xf>
    <xf numFmtId="0" fontId="0" fillId="2" borderId="40" xfId="0" applyFill="1" applyBorder="1" applyAlignment="1">
      <alignment horizontal="center"/>
    </xf>
    <xf numFmtId="44" fontId="0" fillId="0" borderId="41" xfId="0" applyNumberFormat="1" applyBorder="1" applyAlignment="1">
      <alignment horizontal="center"/>
    </xf>
    <xf numFmtId="14" fontId="0" fillId="0" borderId="3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32" xfId="0" applyFill="1" applyBorder="1" applyAlignment="1">
      <alignment horizontal="center"/>
    </xf>
    <xf numFmtId="0" fontId="3" fillId="2" borderId="42" xfId="0" applyFont="1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44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14" fontId="0" fillId="2" borderId="5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44" fontId="0" fillId="2" borderId="8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44" fontId="0" fillId="2" borderId="31" xfId="0" applyNumberFormat="1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14" xfId="0" applyFill="1" applyBorder="1" applyAlignment="1">
      <alignment horizontal="center" vertical="center"/>
    </xf>
    <xf numFmtId="44" fontId="0" fillId="2" borderId="4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 vertical="center"/>
    </xf>
    <xf numFmtId="14" fontId="0" fillId="2" borderId="35" xfId="0" applyNumberFormat="1" applyFill="1" applyBorder="1" applyAlignment="1">
      <alignment horizontal="center" vertical="center"/>
    </xf>
    <xf numFmtId="0" fontId="0" fillId="3" borderId="34" xfId="0" applyFill="1" applyBorder="1" applyAlignment="1">
      <alignment horizontal="center"/>
    </xf>
    <xf numFmtId="0" fontId="3" fillId="3" borderId="42" xfId="0" applyFont="1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3" fillId="3" borderId="43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3" fillId="3" borderId="38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4" fillId="0" borderId="0" xfId="0" applyFont="1"/>
    <xf numFmtId="0" fontId="4" fillId="2" borderId="9" xfId="0" applyFont="1" applyFill="1" applyBorder="1" applyAlignment="1">
      <alignment horizontal="center"/>
    </xf>
    <xf numFmtId="0" fontId="5" fillId="2" borderId="43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2" borderId="27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10"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1111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1111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F1111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EE5A-4EE2-45FB-B68A-5961D24DC07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A893-479A-4E55-B160-522BFD857E75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E014-4A8D-4453-B895-3689A4DC396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9DEC-AA84-41FA-8203-9200C33252E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F3555-6D8A-4324-A831-83AE56F62406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8461-A9F7-4618-A44B-2B79625CAD5B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0BA4D-59A5-43B8-BB70-E00119B5A457}">
  <dimension ref="A1:L83"/>
  <sheetViews>
    <sheetView tabSelected="1" workbookViewId="0">
      <selection activeCell="F42" sqref="F42"/>
    </sheetView>
  </sheetViews>
  <sheetFormatPr defaultColWidth="9" defaultRowHeight="15" x14ac:dyDescent="0.25"/>
  <cols>
    <col min="1" max="1" width="18" style="13" bestFit="1" customWidth="1"/>
    <col min="2" max="2" width="31.42578125" style="13" customWidth="1"/>
    <col min="3" max="3" width="15.7109375" style="38" customWidth="1"/>
    <col min="4" max="4" width="19.28515625" customWidth="1"/>
    <col min="5" max="5" width="16.140625" style="14" customWidth="1"/>
    <col min="6" max="6" width="53.7109375" customWidth="1"/>
    <col min="7" max="7" width="18" customWidth="1"/>
    <col min="8" max="8" width="15.7109375" bestFit="1" customWidth="1"/>
    <col min="9" max="9" width="16.5703125" customWidth="1"/>
    <col min="10" max="10" width="15.85546875" bestFit="1" customWidth="1"/>
    <col min="11" max="11" width="17.85546875" customWidth="1"/>
    <col min="12" max="12" width="17.7109375" customWidth="1"/>
  </cols>
  <sheetData>
    <row r="1" spans="1:12" ht="15.75" thickBot="1" x14ac:dyDescent="0.3">
      <c r="A1" s="1" t="s">
        <v>19</v>
      </c>
      <c r="B1" s="2" t="s">
        <v>0</v>
      </c>
      <c r="C1" s="36" t="s">
        <v>1</v>
      </c>
      <c r="D1" s="2" t="s">
        <v>2</v>
      </c>
      <c r="E1" s="2" t="s">
        <v>3</v>
      </c>
      <c r="F1" s="17" t="s">
        <v>4</v>
      </c>
      <c r="G1" s="25" t="s">
        <v>5</v>
      </c>
      <c r="H1" s="29">
        <f>SUM(C2:C79)</f>
        <v>99442</v>
      </c>
      <c r="J1" s="22" t="s">
        <v>7</v>
      </c>
      <c r="K1" s="22" t="s">
        <v>15</v>
      </c>
    </row>
    <row r="2" spans="1:12" ht="15.75" thickBot="1" x14ac:dyDescent="0.3">
      <c r="A2" s="109">
        <v>17316</v>
      </c>
      <c r="B2" s="67" t="s">
        <v>27</v>
      </c>
      <c r="C2" s="68">
        <v>360</v>
      </c>
      <c r="D2" s="69" t="s">
        <v>17</v>
      </c>
      <c r="E2" s="70">
        <v>46174</v>
      </c>
      <c r="F2" s="71" t="s">
        <v>42</v>
      </c>
      <c r="G2" s="26" t="s">
        <v>7</v>
      </c>
      <c r="H2" s="29">
        <v>75000</v>
      </c>
      <c r="I2" s="43">
        <v>100000</v>
      </c>
      <c r="J2" s="44">
        <f>SUM(H1/H2)</f>
        <v>1.3258933333333334</v>
      </c>
      <c r="K2" s="44">
        <f>SUM(H1/I2)</f>
        <v>0.99441999999999997</v>
      </c>
    </row>
    <row r="3" spans="1:12" ht="15.75" thickBot="1" x14ac:dyDescent="0.3">
      <c r="A3" s="112">
        <v>741</v>
      </c>
      <c r="B3" s="50" t="s">
        <v>57</v>
      </c>
      <c r="C3" s="37">
        <v>440</v>
      </c>
      <c r="D3" s="4" t="s">
        <v>17</v>
      </c>
      <c r="E3" s="5">
        <v>46174</v>
      </c>
      <c r="F3" s="8"/>
      <c r="G3" s="25" t="s">
        <v>6</v>
      </c>
      <c r="H3" s="29">
        <f>H2-H1</f>
        <v>-24442</v>
      </c>
      <c r="I3" s="28">
        <f>I2-H1</f>
        <v>558</v>
      </c>
    </row>
    <row r="4" spans="1:12" ht="15.75" thickBot="1" x14ac:dyDescent="0.3">
      <c r="A4" s="114">
        <v>748</v>
      </c>
      <c r="B4" s="35" t="s">
        <v>70</v>
      </c>
      <c r="C4" s="37">
        <v>1130</v>
      </c>
      <c r="D4" s="4" t="s">
        <v>17</v>
      </c>
      <c r="E4" s="5">
        <v>46174</v>
      </c>
      <c r="F4" s="8"/>
      <c r="G4" s="27" t="s">
        <v>8</v>
      </c>
      <c r="H4" s="15">
        <f>I2/21</f>
        <v>4761.9047619047615</v>
      </c>
      <c r="I4" s="27" t="s">
        <v>105</v>
      </c>
    </row>
    <row r="5" spans="1:12" ht="15.75" thickBot="1" x14ac:dyDescent="0.3">
      <c r="A5" s="115">
        <v>750</v>
      </c>
      <c r="B5" s="35" t="s">
        <v>76</v>
      </c>
      <c r="C5" s="37">
        <v>3817</v>
      </c>
      <c r="D5" s="4" t="s">
        <v>79</v>
      </c>
      <c r="E5" s="5">
        <v>46174</v>
      </c>
      <c r="F5" s="8"/>
      <c r="G5" s="25" t="s">
        <v>118</v>
      </c>
      <c r="H5" s="34" cm="1">
        <f t="array" ref="H5">SUM(I10:I30/8)</f>
        <v>12356.5</v>
      </c>
    </row>
    <row r="6" spans="1:12" x14ac:dyDescent="0.25">
      <c r="A6" s="113">
        <v>758</v>
      </c>
      <c r="B6" s="35" t="s">
        <v>90</v>
      </c>
      <c r="C6" s="37">
        <v>740</v>
      </c>
      <c r="D6" s="4" t="s">
        <v>17</v>
      </c>
      <c r="E6" s="5">
        <v>46174</v>
      </c>
      <c r="F6" s="8"/>
      <c r="G6" s="45"/>
      <c r="H6" s="46"/>
    </row>
    <row r="7" spans="1:12" ht="15.75" thickBot="1" x14ac:dyDescent="0.3">
      <c r="A7" s="110">
        <v>761</v>
      </c>
      <c r="B7" s="73" t="s">
        <v>94</v>
      </c>
      <c r="C7" s="74">
        <v>740</v>
      </c>
      <c r="D7" s="69" t="s">
        <v>17</v>
      </c>
      <c r="E7" s="70">
        <v>46174</v>
      </c>
      <c r="F7" s="75"/>
      <c r="H7" s="9"/>
    </row>
    <row r="8" spans="1:12" ht="15.75" thickBot="1" x14ac:dyDescent="0.3">
      <c r="A8" s="110">
        <v>762</v>
      </c>
      <c r="B8" s="73" t="s">
        <v>95</v>
      </c>
      <c r="C8" s="74">
        <v>120</v>
      </c>
      <c r="D8" s="69" t="s">
        <v>17</v>
      </c>
      <c r="E8" s="70">
        <v>46175</v>
      </c>
      <c r="F8" s="75"/>
      <c r="H8" s="22" t="s">
        <v>10</v>
      </c>
    </row>
    <row r="9" spans="1:12" ht="15.75" thickBot="1" x14ac:dyDescent="0.3">
      <c r="A9" s="110">
        <v>763</v>
      </c>
      <c r="B9" s="73" t="s">
        <v>97</v>
      </c>
      <c r="C9" s="74">
        <v>7140</v>
      </c>
      <c r="D9" s="69" t="s">
        <v>79</v>
      </c>
      <c r="E9" s="70">
        <v>46175</v>
      </c>
      <c r="F9" s="75"/>
      <c r="H9" s="21" t="s">
        <v>11</v>
      </c>
      <c r="I9" s="22" t="s">
        <v>12</v>
      </c>
      <c r="J9" s="27" t="s">
        <v>8</v>
      </c>
      <c r="K9" s="31" t="s">
        <v>13</v>
      </c>
      <c r="L9" s="30" t="s">
        <v>14</v>
      </c>
    </row>
    <row r="10" spans="1:12" ht="15.75" thickBot="1" x14ac:dyDescent="0.3">
      <c r="A10" s="110">
        <v>764</v>
      </c>
      <c r="B10" s="73" t="s">
        <v>98</v>
      </c>
      <c r="C10" s="74">
        <v>1522</v>
      </c>
      <c r="D10" s="69" t="s">
        <v>17</v>
      </c>
      <c r="E10" s="70">
        <v>46175</v>
      </c>
      <c r="F10" s="75"/>
      <c r="G10">
        <v>1</v>
      </c>
      <c r="H10" s="19">
        <v>1</v>
      </c>
      <c r="I10" s="23">
        <f>SUM(C2:C7)</f>
        <v>7227</v>
      </c>
      <c r="J10" s="15">
        <v>4761.8999999999996</v>
      </c>
      <c r="K10" s="32">
        <f>SUM(I10-J10)</f>
        <v>2465.1000000000004</v>
      </c>
      <c r="L10" s="33">
        <f>SUM(K10:K17)</f>
        <v>12481.800000000003</v>
      </c>
    </row>
    <row r="11" spans="1:12" ht="15.75" thickBot="1" x14ac:dyDescent="0.3">
      <c r="A11" s="72">
        <v>17334</v>
      </c>
      <c r="B11" s="73" t="s">
        <v>96</v>
      </c>
      <c r="C11" s="74">
        <v>987</v>
      </c>
      <c r="D11" s="69" t="s">
        <v>17</v>
      </c>
      <c r="E11" s="70">
        <v>46175</v>
      </c>
      <c r="F11" s="75"/>
      <c r="G11">
        <v>2</v>
      </c>
      <c r="H11" s="20">
        <v>2</v>
      </c>
      <c r="I11" s="24">
        <f>SUM(C8:C11)</f>
        <v>9769</v>
      </c>
      <c r="J11" s="15">
        <v>4761.8999999999996</v>
      </c>
      <c r="K11" s="32">
        <f t="shared" ref="K11:K30" si="0">SUM(I11-J11)</f>
        <v>5007.1000000000004</v>
      </c>
    </row>
    <row r="12" spans="1:12" ht="15.75" thickBot="1" x14ac:dyDescent="0.3">
      <c r="A12" s="72">
        <v>766</v>
      </c>
      <c r="B12" s="73" t="s">
        <v>107</v>
      </c>
      <c r="C12" s="74">
        <v>1005</v>
      </c>
      <c r="D12" s="69" t="s">
        <v>17</v>
      </c>
      <c r="E12" s="70">
        <v>46176</v>
      </c>
      <c r="F12" s="105"/>
      <c r="G12">
        <v>3</v>
      </c>
      <c r="H12" s="20">
        <v>3</v>
      </c>
      <c r="I12" s="24">
        <f>SUM(C12:C14)</f>
        <v>11245</v>
      </c>
      <c r="J12" s="15">
        <v>4761.8999999999996</v>
      </c>
      <c r="K12" s="32">
        <f t="shared" ref="K12:K24" si="1">SUM(I12-J12)</f>
        <v>6483.1</v>
      </c>
    </row>
    <row r="13" spans="1:12" ht="15.75" thickBot="1" x14ac:dyDescent="0.3">
      <c r="A13" s="110">
        <v>767</v>
      </c>
      <c r="B13" s="73" t="s">
        <v>104</v>
      </c>
      <c r="C13" s="74">
        <v>9250</v>
      </c>
      <c r="D13" s="69" t="s">
        <v>17</v>
      </c>
      <c r="E13" s="70">
        <v>46176</v>
      </c>
      <c r="F13" s="105"/>
      <c r="G13">
        <v>4</v>
      </c>
      <c r="H13" s="20">
        <v>5</v>
      </c>
      <c r="I13" s="24">
        <f>SUM(C15:C18)</f>
        <v>5250</v>
      </c>
      <c r="J13" s="15">
        <v>4761.8999999999996</v>
      </c>
      <c r="K13" s="32">
        <f t="shared" si="1"/>
        <v>488.10000000000036</v>
      </c>
    </row>
    <row r="14" spans="1:12" ht="15.75" thickBot="1" x14ac:dyDescent="0.3">
      <c r="A14" s="110">
        <v>768</v>
      </c>
      <c r="B14" s="73" t="s">
        <v>106</v>
      </c>
      <c r="C14" s="74">
        <v>990</v>
      </c>
      <c r="D14" s="69" t="s">
        <v>17</v>
      </c>
      <c r="E14" s="70">
        <v>46176</v>
      </c>
      <c r="F14" s="75"/>
      <c r="G14">
        <v>5</v>
      </c>
      <c r="H14" s="20">
        <v>8</v>
      </c>
      <c r="I14" s="24">
        <f>SUM(C16:C19)</f>
        <v>4270</v>
      </c>
      <c r="J14" s="15">
        <v>4761.8999999999996</v>
      </c>
      <c r="K14" s="32">
        <f t="shared" si="1"/>
        <v>-491.89999999999964</v>
      </c>
    </row>
    <row r="15" spans="1:12" ht="15.75" thickBot="1" x14ac:dyDescent="0.3">
      <c r="A15" s="109">
        <v>769</v>
      </c>
      <c r="B15" s="67" t="s">
        <v>108</v>
      </c>
      <c r="C15" s="68">
        <v>1160</v>
      </c>
      <c r="D15" s="69" t="s">
        <v>17</v>
      </c>
      <c r="E15" s="70">
        <v>46178</v>
      </c>
      <c r="F15" s="75"/>
      <c r="G15">
        <v>7</v>
      </c>
      <c r="H15" s="20">
        <v>9</v>
      </c>
      <c r="I15" s="24">
        <f>SUM(C20:C23)</f>
        <v>4426</v>
      </c>
      <c r="J15" s="15">
        <v>4761.8999999999996</v>
      </c>
      <c r="K15" s="32">
        <f t="shared" si="1"/>
        <v>-335.89999999999964</v>
      </c>
    </row>
    <row r="16" spans="1:12" ht="15.75" thickBot="1" x14ac:dyDescent="0.3">
      <c r="A16" s="109">
        <v>770</v>
      </c>
      <c r="B16" s="67" t="s">
        <v>109</v>
      </c>
      <c r="C16" s="68">
        <v>958</v>
      </c>
      <c r="D16" s="69" t="s">
        <v>17</v>
      </c>
      <c r="E16" s="70">
        <v>46181</v>
      </c>
      <c r="F16" s="75"/>
      <c r="G16">
        <v>8</v>
      </c>
      <c r="H16" s="20">
        <v>10</v>
      </c>
      <c r="I16" s="24">
        <f>SUM(C24)</f>
        <v>740</v>
      </c>
      <c r="J16" s="15">
        <v>4761.8999999999996</v>
      </c>
      <c r="K16" s="32">
        <f t="shared" si="1"/>
        <v>-4021.8999999999996</v>
      </c>
    </row>
    <row r="17" spans="1:11" ht="15.75" thickBot="1" x14ac:dyDescent="0.3">
      <c r="A17" s="109">
        <v>771</v>
      </c>
      <c r="B17" s="67" t="s">
        <v>110</v>
      </c>
      <c r="C17" s="68">
        <v>2132</v>
      </c>
      <c r="D17" s="69" t="s">
        <v>17</v>
      </c>
      <c r="E17" s="70">
        <v>46181</v>
      </c>
      <c r="F17" s="105" t="s">
        <v>103</v>
      </c>
      <c r="H17" s="20">
        <v>11</v>
      </c>
      <c r="I17" s="24">
        <f>SUM(C25)</f>
        <v>7650</v>
      </c>
      <c r="J17" s="15">
        <v>4761.8999999999996</v>
      </c>
      <c r="K17" s="32">
        <f t="shared" si="1"/>
        <v>2888.1000000000004</v>
      </c>
    </row>
    <row r="18" spans="1:11" ht="15.75" thickBot="1" x14ac:dyDescent="0.3">
      <c r="A18" s="109">
        <v>772</v>
      </c>
      <c r="B18" s="67" t="s">
        <v>111</v>
      </c>
      <c r="C18" s="68">
        <v>1000</v>
      </c>
      <c r="D18" s="69" t="s">
        <v>17</v>
      </c>
      <c r="E18" s="70">
        <v>46181</v>
      </c>
      <c r="F18" s="75"/>
      <c r="H18" s="20">
        <v>12</v>
      </c>
      <c r="I18" s="24">
        <f>SUM(C26:C32)</f>
        <v>10836.5</v>
      </c>
      <c r="J18" s="15">
        <v>4761.8999999999996</v>
      </c>
      <c r="K18" s="32">
        <f t="shared" si="1"/>
        <v>6074.6</v>
      </c>
    </row>
    <row r="19" spans="1:11" ht="15.75" thickBot="1" x14ac:dyDescent="0.3">
      <c r="A19" s="109">
        <v>773</v>
      </c>
      <c r="B19" s="67" t="s">
        <v>113</v>
      </c>
      <c r="C19" s="68">
        <v>180</v>
      </c>
      <c r="D19" s="69" t="s">
        <v>17</v>
      </c>
      <c r="E19" s="70">
        <v>46181</v>
      </c>
      <c r="F19" s="75"/>
      <c r="H19" s="20">
        <v>15</v>
      </c>
      <c r="I19" s="24">
        <f>SUM(C33:C34)</f>
        <v>1327.5</v>
      </c>
      <c r="J19" s="15">
        <v>4761.8999999999996</v>
      </c>
      <c r="K19" s="32">
        <f t="shared" si="1"/>
        <v>-3434.3999999999996</v>
      </c>
    </row>
    <row r="20" spans="1:11" ht="15.75" thickBot="1" x14ac:dyDescent="0.3">
      <c r="A20" s="109">
        <v>774</v>
      </c>
      <c r="B20" s="67" t="s">
        <v>114</v>
      </c>
      <c r="C20" s="68">
        <v>1746</v>
      </c>
      <c r="D20" s="69" t="s">
        <v>17</v>
      </c>
      <c r="E20" s="70">
        <v>46182</v>
      </c>
      <c r="F20" s="75"/>
      <c r="H20" s="20">
        <v>16</v>
      </c>
      <c r="I20" s="24">
        <f>SUM(C35:C37)</f>
        <v>5366</v>
      </c>
      <c r="J20" s="15">
        <v>4761.8999999999996</v>
      </c>
      <c r="K20" s="32">
        <f t="shared" si="1"/>
        <v>604.10000000000036</v>
      </c>
    </row>
    <row r="21" spans="1:11" ht="15.75" thickBot="1" x14ac:dyDescent="0.3">
      <c r="A21" s="108">
        <v>775</v>
      </c>
      <c r="B21" s="73" t="s">
        <v>115</v>
      </c>
      <c r="C21" s="74">
        <v>740</v>
      </c>
      <c r="D21" s="69" t="s">
        <v>17</v>
      </c>
      <c r="E21" s="70">
        <v>46182</v>
      </c>
      <c r="F21" s="75"/>
      <c r="H21" s="20">
        <v>17</v>
      </c>
      <c r="I21" s="24">
        <f>SUM(C38:C40)</f>
        <v>30745</v>
      </c>
      <c r="J21" s="15">
        <v>4761.8999999999996</v>
      </c>
      <c r="K21" s="32">
        <f t="shared" si="1"/>
        <v>25983.1</v>
      </c>
    </row>
    <row r="22" spans="1:11" ht="15.75" thickBot="1" x14ac:dyDescent="0.3">
      <c r="A22" s="107">
        <v>776</v>
      </c>
      <c r="B22" s="67" t="s">
        <v>112</v>
      </c>
      <c r="C22" s="68">
        <v>610</v>
      </c>
      <c r="D22" s="69" t="s">
        <v>17</v>
      </c>
      <c r="E22" s="70">
        <v>46182</v>
      </c>
      <c r="F22" s="75"/>
      <c r="H22" s="20">
        <v>18</v>
      </c>
      <c r="I22" s="24"/>
      <c r="J22" s="15">
        <v>4761.8999999999996</v>
      </c>
      <c r="K22" s="32">
        <f t="shared" si="1"/>
        <v>-4761.8999999999996</v>
      </c>
    </row>
    <row r="23" spans="1:11" ht="15.75" thickBot="1" x14ac:dyDescent="0.3">
      <c r="A23" s="116">
        <v>777</v>
      </c>
      <c r="B23" s="73" t="s">
        <v>116</v>
      </c>
      <c r="C23" s="74">
        <v>1330</v>
      </c>
      <c r="D23" s="69" t="s">
        <v>17</v>
      </c>
      <c r="E23" s="70">
        <v>46182</v>
      </c>
      <c r="F23" s="75"/>
      <c r="H23" s="20">
        <v>19</v>
      </c>
      <c r="I23" s="24"/>
      <c r="J23" s="15">
        <v>4761.8999999999996</v>
      </c>
      <c r="K23" s="32">
        <f t="shared" si="1"/>
        <v>-4761.8999999999996</v>
      </c>
    </row>
    <row r="24" spans="1:11" ht="15.75" thickBot="1" x14ac:dyDescent="0.3">
      <c r="A24" s="106">
        <v>778</v>
      </c>
      <c r="B24" s="73" t="s">
        <v>117</v>
      </c>
      <c r="C24" s="74">
        <v>740</v>
      </c>
      <c r="D24" s="69" t="s">
        <v>17</v>
      </c>
      <c r="E24" s="70">
        <v>46183</v>
      </c>
      <c r="F24" s="75"/>
      <c r="H24" s="20">
        <v>22</v>
      </c>
      <c r="I24" s="24"/>
      <c r="J24" s="15">
        <v>4761.8999999999996</v>
      </c>
      <c r="K24" s="32">
        <f t="shared" si="1"/>
        <v>-4761.8999999999996</v>
      </c>
    </row>
    <row r="25" spans="1:11" ht="15.75" thickBot="1" x14ac:dyDescent="0.3">
      <c r="A25" s="106">
        <v>779</v>
      </c>
      <c r="B25" s="73" t="s">
        <v>69</v>
      </c>
      <c r="C25" s="74">
        <v>7650</v>
      </c>
      <c r="D25" s="69" t="s">
        <v>17</v>
      </c>
      <c r="E25" s="70">
        <v>46184</v>
      </c>
      <c r="F25" s="75"/>
      <c r="H25" s="20">
        <v>23</v>
      </c>
      <c r="I25" s="24"/>
      <c r="J25" s="15">
        <v>4761.8999999999996</v>
      </c>
      <c r="K25" s="32">
        <f t="shared" si="0"/>
        <v>-4761.8999999999996</v>
      </c>
    </row>
    <row r="26" spans="1:11" ht="15.75" thickBot="1" x14ac:dyDescent="0.3">
      <c r="A26" s="63">
        <v>17614</v>
      </c>
      <c r="B26" s="73" t="s">
        <v>86</v>
      </c>
      <c r="C26" s="74">
        <v>126.5</v>
      </c>
      <c r="D26" s="69" t="s">
        <v>17</v>
      </c>
      <c r="E26" s="70">
        <v>46185</v>
      </c>
      <c r="F26" s="75"/>
      <c r="H26" s="20">
        <v>24</v>
      </c>
      <c r="I26" s="24"/>
      <c r="J26" s="15">
        <v>4761.8999999999996</v>
      </c>
      <c r="K26" s="32">
        <f t="shared" si="0"/>
        <v>-4761.8999999999996</v>
      </c>
    </row>
    <row r="27" spans="1:11" ht="15.75" thickBot="1" x14ac:dyDescent="0.3">
      <c r="A27" s="111">
        <v>17617</v>
      </c>
      <c r="B27" s="73" t="s">
        <v>100</v>
      </c>
      <c r="C27" s="74">
        <v>1500</v>
      </c>
      <c r="D27" s="69" t="s">
        <v>79</v>
      </c>
      <c r="E27" s="70">
        <v>46185</v>
      </c>
      <c r="F27" s="75" t="s">
        <v>125</v>
      </c>
      <c r="H27" s="20">
        <v>25</v>
      </c>
      <c r="I27" s="24"/>
      <c r="J27" s="15">
        <v>4761.8999999999996</v>
      </c>
      <c r="K27" s="32">
        <f t="shared" si="0"/>
        <v>-4761.8999999999996</v>
      </c>
    </row>
    <row r="28" spans="1:11" ht="15.75" thickBot="1" x14ac:dyDescent="0.3">
      <c r="A28" s="64">
        <v>17621</v>
      </c>
      <c r="B28" s="73" t="s">
        <v>122</v>
      </c>
      <c r="C28" s="74">
        <v>3750</v>
      </c>
      <c r="D28" s="69" t="s">
        <v>17</v>
      </c>
      <c r="E28" s="70">
        <v>46185</v>
      </c>
      <c r="F28" s="75" t="s">
        <v>136</v>
      </c>
      <c r="H28" s="20">
        <v>26</v>
      </c>
      <c r="I28" s="24"/>
      <c r="J28" s="15">
        <v>4761.8999999999996</v>
      </c>
      <c r="K28" s="32">
        <f t="shared" si="0"/>
        <v>-4761.8999999999996</v>
      </c>
    </row>
    <row r="29" spans="1:11" ht="15.75" thickBot="1" x14ac:dyDescent="0.3">
      <c r="A29" s="63">
        <v>780</v>
      </c>
      <c r="B29" s="73" t="s">
        <v>122</v>
      </c>
      <c r="C29" s="74">
        <v>1345</v>
      </c>
      <c r="D29" s="69" t="s">
        <v>17</v>
      </c>
      <c r="E29" s="70">
        <v>46185</v>
      </c>
      <c r="F29" s="75"/>
      <c r="H29" s="20">
        <v>29</v>
      </c>
      <c r="I29" s="24"/>
      <c r="J29" s="15">
        <v>4761.8999999999996</v>
      </c>
      <c r="K29" s="32">
        <f t="shared" si="0"/>
        <v>-4761.8999999999996</v>
      </c>
    </row>
    <row r="30" spans="1:11" ht="15.75" thickBot="1" x14ac:dyDescent="0.3">
      <c r="A30" s="77">
        <v>781</v>
      </c>
      <c r="B30" s="73" t="s">
        <v>119</v>
      </c>
      <c r="C30" s="74">
        <v>623</v>
      </c>
      <c r="D30" s="69" t="s">
        <v>17</v>
      </c>
      <c r="E30" s="70">
        <v>46185</v>
      </c>
      <c r="F30" s="75"/>
      <c r="H30" s="20">
        <v>30</v>
      </c>
      <c r="I30" s="24"/>
      <c r="J30" s="15">
        <v>4761.8999999999996</v>
      </c>
      <c r="K30" s="32">
        <f t="shared" si="0"/>
        <v>-4761.8999999999996</v>
      </c>
    </row>
    <row r="31" spans="1:11" x14ac:dyDescent="0.25">
      <c r="A31" s="49">
        <v>782</v>
      </c>
      <c r="B31" s="78" t="s">
        <v>120</v>
      </c>
      <c r="C31" s="74">
        <v>1726</v>
      </c>
      <c r="D31" s="69" t="s">
        <v>17</v>
      </c>
      <c r="E31" s="70">
        <v>46185</v>
      </c>
      <c r="F31" s="75"/>
    </row>
    <row r="32" spans="1:11" x14ac:dyDescent="0.25">
      <c r="A32" s="42">
        <v>783</v>
      </c>
      <c r="B32" s="78" t="s">
        <v>121</v>
      </c>
      <c r="C32" s="74">
        <v>1766</v>
      </c>
      <c r="D32" s="69" t="s">
        <v>17</v>
      </c>
      <c r="E32" s="70">
        <v>46185</v>
      </c>
      <c r="F32" s="75"/>
    </row>
    <row r="33" spans="1:7" x14ac:dyDescent="0.25">
      <c r="A33" s="42">
        <v>17635</v>
      </c>
      <c r="B33" s="73" t="s">
        <v>123</v>
      </c>
      <c r="C33" s="74">
        <v>427.5</v>
      </c>
      <c r="D33" s="69" t="s">
        <v>17</v>
      </c>
      <c r="E33" s="70">
        <v>46188</v>
      </c>
      <c r="F33" s="75" t="s">
        <v>124</v>
      </c>
    </row>
    <row r="34" spans="1:7" x14ac:dyDescent="0.25">
      <c r="A34" s="42">
        <v>785</v>
      </c>
      <c r="B34" s="78" t="s">
        <v>126</v>
      </c>
      <c r="C34" s="74">
        <v>900</v>
      </c>
      <c r="D34" s="69" t="s">
        <v>17</v>
      </c>
      <c r="E34" s="70">
        <v>46188</v>
      </c>
      <c r="F34" s="75"/>
    </row>
    <row r="35" spans="1:7" x14ac:dyDescent="0.25">
      <c r="A35" s="48">
        <v>786</v>
      </c>
      <c r="B35" s="78" t="s">
        <v>127</v>
      </c>
      <c r="C35" s="74">
        <v>540</v>
      </c>
      <c r="D35" s="69" t="s">
        <v>17</v>
      </c>
      <c r="E35" s="70">
        <v>46189</v>
      </c>
      <c r="F35" s="75"/>
    </row>
    <row r="36" spans="1:7" x14ac:dyDescent="0.25">
      <c r="A36" s="49">
        <v>787</v>
      </c>
      <c r="B36" s="78" t="s">
        <v>61</v>
      </c>
      <c r="C36" s="74">
        <v>1686</v>
      </c>
      <c r="D36" s="69" t="s">
        <v>17</v>
      </c>
      <c r="E36" s="70">
        <v>46189</v>
      </c>
      <c r="F36" s="75"/>
    </row>
    <row r="37" spans="1:7" x14ac:dyDescent="0.25">
      <c r="A37" s="42">
        <v>788</v>
      </c>
      <c r="B37" s="78" t="s">
        <v>128</v>
      </c>
      <c r="C37" s="74">
        <v>3140</v>
      </c>
      <c r="D37" s="69" t="s">
        <v>17</v>
      </c>
      <c r="E37" s="70">
        <v>46189</v>
      </c>
      <c r="F37" s="75" t="s">
        <v>132</v>
      </c>
    </row>
    <row r="38" spans="1:7" x14ac:dyDescent="0.25">
      <c r="A38" s="42">
        <v>790</v>
      </c>
      <c r="B38" s="78" t="s">
        <v>130</v>
      </c>
      <c r="C38" s="74">
        <v>29055</v>
      </c>
      <c r="D38" s="69" t="s">
        <v>17</v>
      </c>
      <c r="E38" s="70">
        <v>46190</v>
      </c>
      <c r="F38" s="75"/>
    </row>
    <row r="39" spans="1:7" x14ac:dyDescent="0.25">
      <c r="A39" s="42">
        <v>791</v>
      </c>
      <c r="B39" s="78" t="s">
        <v>131</v>
      </c>
      <c r="C39" s="74">
        <v>950</v>
      </c>
      <c r="D39" s="69" t="s">
        <v>17</v>
      </c>
      <c r="E39" s="70">
        <v>46190</v>
      </c>
      <c r="F39" s="75"/>
    </row>
    <row r="40" spans="1:7" x14ac:dyDescent="0.25">
      <c r="A40" s="42">
        <v>792</v>
      </c>
      <c r="B40" s="78" t="s">
        <v>129</v>
      </c>
      <c r="C40" s="74">
        <v>740</v>
      </c>
      <c r="D40" s="69" t="s">
        <v>17</v>
      </c>
      <c r="E40" s="70">
        <v>46190</v>
      </c>
      <c r="F40" s="75"/>
    </row>
    <row r="41" spans="1:7" x14ac:dyDescent="0.25">
      <c r="A41" s="54">
        <v>17701</v>
      </c>
      <c r="B41" s="79" t="s">
        <v>135</v>
      </c>
      <c r="C41" s="74">
        <v>4680</v>
      </c>
      <c r="D41" s="69" t="s">
        <v>17</v>
      </c>
      <c r="E41" s="70">
        <v>46191</v>
      </c>
      <c r="F41" s="75" t="s">
        <v>133</v>
      </c>
      <c r="G41" s="104" t="s">
        <v>134</v>
      </c>
    </row>
    <row r="42" spans="1:7" x14ac:dyDescent="0.25">
      <c r="A42" s="62"/>
      <c r="B42" s="79" t="s">
        <v>137</v>
      </c>
      <c r="C42" s="74"/>
      <c r="D42" s="69" t="s">
        <v>17</v>
      </c>
      <c r="E42" s="70">
        <v>46192</v>
      </c>
      <c r="F42" s="75"/>
    </row>
    <row r="43" spans="1:7" x14ac:dyDescent="0.25">
      <c r="A43" s="51"/>
      <c r="B43" s="78"/>
      <c r="C43" s="74"/>
      <c r="D43" s="69"/>
      <c r="E43" s="70"/>
      <c r="F43" s="75"/>
    </row>
    <row r="44" spans="1:7" x14ac:dyDescent="0.25">
      <c r="A44" s="52"/>
      <c r="B44" s="79"/>
      <c r="C44" s="74"/>
      <c r="D44" s="69"/>
      <c r="E44" s="70"/>
      <c r="F44" s="75"/>
    </row>
    <row r="45" spans="1:7" x14ac:dyDescent="0.25">
      <c r="A45" s="54"/>
      <c r="B45" s="80"/>
      <c r="C45" s="74"/>
      <c r="D45" s="69"/>
      <c r="E45" s="70"/>
      <c r="F45" s="75"/>
    </row>
    <row r="46" spans="1:7" x14ac:dyDescent="0.25">
      <c r="A46" s="52"/>
      <c r="B46" s="81"/>
      <c r="C46" s="74"/>
      <c r="D46" s="69"/>
      <c r="E46" s="70"/>
      <c r="F46" s="75"/>
    </row>
    <row r="47" spans="1:7" x14ac:dyDescent="0.25">
      <c r="A47" s="57"/>
      <c r="B47" s="82"/>
      <c r="C47" s="74"/>
      <c r="D47" s="69"/>
      <c r="E47" s="70"/>
      <c r="F47" s="75"/>
    </row>
    <row r="48" spans="1:7" x14ac:dyDescent="0.25">
      <c r="A48" s="54"/>
      <c r="B48" s="79"/>
      <c r="C48" s="74"/>
      <c r="D48" s="69"/>
      <c r="E48" s="70"/>
      <c r="F48" s="75"/>
    </row>
    <row r="49" spans="1:6" x14ac:dyDescent="0.25">
      <c r="A49" s="52"/>
      <c r="B49" s="79"/>
      <c r="C49" s="74"/>
      <c r="D49" s="69"/>
      <c r="E49" s="70"/>
      <c r="F49" s="75"/>
    </row>
    <row r="50" spans="1:6" x14ac:dyDescent="0.25">
      <c r="A50" s="83"/>
      <c r="B50" s="73"/>
      <c r="C50" s="74"/>
      <c r="D50" s="69"/>
      <c r="E50" s="70"/>
      <c r="F50" s="75"/>
    </row>
    <row r="51" spans="1:6" x14ac:dyDescent="0.25">
      <c r="A51" s="72"/>
      <c r="B51" s="73"/>
      <c r="C51" s="74"/>
      <c r="D51" s="69"/>
      <c r="E51" s="70"/>
      <c r="F51" s="75"/>
    </row>
    <row r="52" spans="1:6" x14ac:dyDescent="0.25">
      <c r="A52" s="72"/>
      <c r="B52" s="73"/>
      <c r="C52" s="74"/>
      <c r="D52" s="69"/>
      <c r="E52" s="70"/>
      <c r="F52" s="75"/>
    </row>
    <row r="53" spans="1:6" x14ac:dyDescent="0.25">
      <c r="A53" s="72"/>
      <c r="B53" s="73"/>
      <c r="C53" s="74"/>
      <c r="D53" s="69"/>
      <c r="E53" s="70"/>
      <c r="F53" s="75"/>
    </row>
    <row r="54" spans="1:6" x14ac:dyDescent="0.25">
      <c r="A54" s="72"/>
      <c r="B54" s="73"/>
      <c r="C54" s="74"/>
      <c r="D54" s="69"/>
      <c r="E54" s="70"/>
      <c r="F54" s="75"/>
    </row>
    <row r="55" spans="1:6" x14ac:dyDescent="0.25">
      <c r="A55" s="72"/>
      <c r="B55" s="73"/>
      <c r="C55" s="74"/>
      <c r="D55" s="69"/>
      <c r="E55" s="70"/>
      <c r="F55" s="75"/>
    </row>
    <row r="56" spans="1:6" x14ac:dyDescent="0.25">
      <c r="A56" s="72"/>
      <c r="B56" s="73"/>
      <c r="C56" s="74"/>
      <c r="D56" s="69"/>
      <c r="E56" s="70"/>
      <c r="F56" s="75"/>
    </row>
    <row r="57" spans="1:6" x14ac:dyDescent="0.25">
      <c r="A57" s="72"/>
      <c r="B57" s="73"/>
      <c r="C57" s="74"/>
      <c r="D57" s="69"/>
      <c r="E57" s="70"/>
      <c r="F57" s="75"/>
    </row>
    <row r="58" spans="1:6" x14ac:dyDescent="0.25">
      <c r="A58" s="72"/>
      <c r="B58" s="73"/>
      <c r="C58" s="74"/>
      <c r="D58" s="69"/>
      <c r="E58" s="70"/>
      <c r="F58" s="75"/>
    </row>
    <row r="59" spans="1:6" x14ac:dyDescent="0.25">
      <c r="A59" s="72"/>
      <c r="B59" s="73"/>
      <c r="C59" s="74"/>
      <c r="D59" s="69"/>
      <c r="E59" s="70"/>
      <c r="F59" s="75"/>
    </row>
    <row r="60" spans="1:6" x14ac:dyDescent="0.25">
      <c r="A60" s="72"/>
      <c r="B60" s="73"/>
      <c r="C60" s="74"/>
      <c r="D60" s="69"/>
      <c r="E60" s="70"/>
      <c r="F60" s="75"/>
    </row>
    <row r="61" spans="1:6" x14ac:dyDescent="0.25">
      <c r="A61" s="72"/>
      <c r="B61" s="73"/>
      <c r="C61" s="74"/>
      <c r="D61" s="69"/>
      <c r="E61" s="70"/>
      <c r="F61" s="75"/>
    </row>
    <row r="62" spans="1:6" x14ac:dyDescent="0.25">
      <c r="A62" s="72"/>
      <c r="B62" s="73"/>
      <c r="C62" s="74"/>
      <c r="D62" s="69"/>
      <c r="E62" s="70"/>
      <c r="F62" s="75"/>
    </row>
    <row r="63" spans="1:6" x14ac:dyDescent="0.25">
      <c r="A63" s="72"/>
      <c r="B63" s="73"/>
      <c r="C63" s="74"/>
      <c r="D63" s="84"/>
      <c r="E63" s="70"/>
      <c r="F63" s="75"/>
    </row>
    <row r="64" spans="1:6" x14ac:dyDescent="0.25">
      <c r="A64" s="72"/>
      <c r="B64" s="73"/>
      <c r="C64" s="85"/>
      <c r="D64" s="86"/>
      <c r="E64" s="87"/>
      <c r="F64" s="75"/>
    </row>
    <row r="65" spans="1:6" x14ac:dyDescent="0.25">
      <c r="A65" s="72"/>
      <c r="B65" s="73"/>
      <c r="C65" s="74"/>
      <c r="D65" s="69"/>
      <c r="E65" s="70"/>
      <c r="F65" s="75"/>
    </row>
    <row r="66" spans="1:6" x14ac:dyDescent="0.25">
      <c r="A66" s="72"/>
      <c r="B66" s="73"/>
      <c r="C66" s="74"/>
      <c r="D66" s="69"/>
      <c r="E66" s="70"/>
      <c r="F66" s="75"/>
    </row>
    <row r="67" spans="1:6" x14ac:dyDescent="0.25">
      <c r="A67" s="72"/>
      <c r="B67" s="73"/>
      <c r="C67" s="74"/>
      <c r="D67" s="69"/>
      <c r="E67" s="70"/>
      <c r="F67" s="75"/>
    </row>
    <row r="68" spans="1:6" x14ac:dyDescent="0.25">
      <c r="A68" s="72"/>
      <c r="B68" s="73"/>
      <c r="C68" s="74"/>
      <c r="D68" s="76"/>
      <c r="E68" s="70"/>
      <c r="F68" s="75"/>
    </row>
    <row r="69" spans="1:6" x14ac:dyDescent="0.25">
      <c r="A69" s="41"/>
      <c r="B69" s="35"/>
      <c r="C69" s="37"/>
      <c r="D69" s="4"/>
      <c r="E69" s="5"/>
      <c r="F69" s="75"/>
    </row>
    <row r="70" spans="1:6" x14ac:dyDescent="0.25">
      <c r="A70" s="41"/>
      <c r="B70" s="35"/>
      <c r="C70" s="37"/>
      <c r="D70" s="4"/>
      <c r="E70" s="5"/>
      <c r="F70" s="8"/>
    </row>
    <row r="71" spans="1:6" x14ac:dyDescent="0.25">
      <c r="A71" s="41"/>
      <c r="B71" s="35"/>
      <c r="C71" s="37"/>
      <c r="D71" s="4"/>
      <c r="E71" s="5"/>
      <c r="F71" s="8"/>
    </row>
    <row r="72" spans="1:6" x14ac:dyDescent="0.25">
      <c r="A72" s="41"/>
      <c r="B72" s="35"/>
      <c r="C72" s="37"/>
      <c r="D72" s="4"/>
      <c r="E72" s="5"/>
      <c r="F72" s="8"/>
    </row>
    <row r="73" spans="1:6" x14ac:dyDescent="0.25">
      <c r="A73" s="41"/>
      <c r="B73" s="35"/>
      <c r="C73" s="37"/>
      <c r="D73" s="4"/>
      <c r="E73" s="5"/>
      <c r="F73" s="8"/>
    </row>
    <row r="74" spans="1:6" x14ac:dyDescent="0.25">
      <c r="A74" s="41"/>
      <c r="B74" s="35"/>
      <c r="C74" s="37"/>
      <c r="D74" s="4"/>
      <c r="E74" s="5"/>
      <c r="F74" s="8"/>
    </row>
    <row r="75" spans="1:6" x14ac:dyDescent="0.25">
      <c r="A75" s="41"/>
      <c r="B75" s="35"/>
      <c r="C75" s="37"/>
      <c r="D75" s="4"/>
      <c r="E75" s="5"/>
      <c r="F75" s="8"/>
    </row>
    <row r="76" spans="1:6" x14ac:dyDescent="0.25">
      <c r="A76" s="41"/>
      <c r="B76" s="35"/>
      <c r="C76" s="37"/>
      <c r="D76" s="4"/>
      <c r="E76" s="5"/>
      <c r="F76" s="8"/>
    </row>
    <row r="77" spans="1:6" x14ac:dyDescent="0.25">
      <c r="A77" s="41"/>
      <c r="B77" s="35"/>
      <c r="C77" s="37"/>
      <c r="D77" s="7"/>
      <c r="E77" s="5"/>
      <c r="F77" s="8"/>
    </row>
    <row r="78" spans="1:6" x14ac:dyDescent="0.25">
      <c r="A78" s="41"/>
      <c r="B78" s="35"/>
      <c r="C78" s="37"/>
      <c r="D78" s="4"/>
      <c r="E78" s="5"/>
      <c r="F78" s="8"/>
    </row>
    <row r="79" spans="1:6" ht="15.75" thickBot="1" x14ac:dyDescent="0.3">
      <c r="A79" s="41"/>
      <c r="B79" s="35"/>
      <c r="C79" s="37"/>
      <c r="D79" s="4"/>
      <c r="E79" s="5"/>
      <c r="F79" s="8"/>
    </row>
    <row r="80" spans="1:6" ht="15.75" thickBot="1" x14ac:dyDescent="0.3">
      <c r="A80" s="117" t="s">
        <v>5</v>
      </c>
      <c r="B80" s="118"/>
      <c r="C80" s="36">
        <f>SUM(C2:C79)</f>
        <v>99442</v>
      </c>
      <c r="D80" s="11"/>
      <c r="E80" s="12"/>
      <c r="F80" s="8"/>
    </row>
    <row r="81" spans="1:6" ht="15.75" thickBot="1" x14ac:dyDescent="0.3">
      <c r="A81" s="117" t="s">
        <v>7</v>
      </c>
      <c r="B81" s="118"/>
      <c r="C81" s="36">
        <v>100000</v>
      </c>
      <c r="D81" s="16">
        <v>100000</v>
      </c>
      <c r="E81" s="10"/>
      <c r="F81" s="3"/>
    </row>
    <row r="82" spans="1:6" ht="15.75" thickBot="1" x14ac:dyDescent="0.3">
      <c r="A82" s="117" t="s">
        <v>6</v>
      </c>
      <c r="B82" s="118"/>
      <c r="C82" s="36">
        <f>C81-C80</f>
        <v>558</v>
      </c>
      <c r="D82" s="16">
        <f>D81-C80</f>
        <v>558</v>
      </c>
      <c r="E82" s="10"/>
      <c r="F82" s="3"/>
    </row>
    <row r="83" spans="1:6" ht="15.75" thickBot="1" x14ac:dyDescent="0.3">
      <c r="F83" s="3"/>
    </row>
  </sheetData>
  <mergeCells count="3">
    <mergeCell ref="A80:B80"/>
    <mergeCell ref="A81:B81"/>
    <mergeCell ref="A82:B82"/>
  </mergeCells>
  <conditionalFormatting sqref="I10:I30">
    <cfRule type="cellIs" dxfId="4" priority="1" operator="equal">
      <formula>0</formula>
    </cfRule>
    <cfRule type="cellIs" dxfId="3" priority="2" operator="lessThan">
      <formula>4545.45</formula>
    </cfRule>
    <cfRule type="cellIs" dxfId="2" priority="3" operator="greaterThan">
      <formula>4545.45</formula>
    </cfRule>
  </conditionalFormatting>
  <conditionalFormatting sqref="L10">
    <cfRule type="cellIs" dxfId="1" priority="4" operator="lessThan">
      <formula>0</formula>
    </cfRule>
    <cfRule type="cellIs" dxfId="0" priority="5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E7DA-3D44-4DC1-A7B8-5219E5DF434A}">
  <dimension ref="A1:L68"/>
  <sheetViews>
    <sheetView zoomScaleNormal="100" workbookViewId="0">
      <pane ySplit="1" topLeftCell="A2" activePane="bottomLeft" state="frozen"/>
      <selection activeCell="B1" sqref="B1"/>
      <selection pane="bottomLeft" activeCell="H33" sqref="H33"/>
    </sheetView>
  </sheetViews>
  <sheetFormatPr defaultColWidth="9" defaultRowHeight="15" x14ac:dyDescent="0.25"/>
  <cols>
    <col min="1" max="1" width="18" style="13" bestFit="1" customWidth="1"/>
    <col min="2" max="2" width="31.42578125" style="13" customWidth="1"/>
    <col min="3" max="3" width="15.7109375" style="38" customWidth="1"/>
    <col min="4" max="4" width="19.28515625" customWidth="1"/>
    <col min="5" max="5" width="16.140625" style="14" customWidth="1"/>
    <col min="6" max="6" width="53.7109375" customWidth="1"/>
    <col min="7" max="7" width="18" customWidth="1"/>
    <col min="8" max="8" width="15.7109375" bestFit="1" customWidth="1"/>
    <col min="9" max="9" width="16.5703125" customWidth="1"/>
    <col min="10" max="10" width="15.85546875" bestFit="1" customWidth="1"/>
    <col min="11" max="11" width="17.85546875" customWidth="1"/>
    <col min="12" max="12" width="17.7109375" customWidth="1"/>
  </cols>
  <sheetData>
    <row r="1" spans="1:12" ht="15.75" thickBot="1" x14ac:dyDescent="0.3">
      <c r="A1" s="1" t="s">
        <v>19</v>
      </c>
      <c r="B1" s="2" t="s">
        <v>0</v>
      </c>
      <c r="C1" s="36" t="s">
        <v>1</v>
      </c>
      <c r="D1" s="2" t="s">
        <v>2</v>
      </c>
      <c r="E1" s="2" t="s">
        <v>3</v>
      </c>
      <c r="F1" s="17" t="s">
        <v>4</v>
      </c>
      <c r="G1" s="25" t="s">
        <v>5</v>
      </c>
      <c r="H1" s="29">
        <f>SUM(C2:C65)</f>
        <v>116790</v>
      </c>
      <c r="J1" s="22" t="s">
        <v>7</v>
      </c>
      <c r="K1" s="22" t="s">
        <v>15</v>
      </c>
    </row>
    <row r="2" spans="1:12" ht="15.75" thickBot="1" x14ac:dyDescent="0.3">
      <c r="A2" s="92">
        <v>698</v>
      </c>
      <c r="B2" s="39" t="s">
        <v>28</v>
      </c>
      <c r="C2" s="40">
        <v>404</v>
      </c>
      <c r="D2" s="4" t="s">
        <v>17</v>
      </c>
      <c r="E2" s="5">
        <v>46143</v>
      </c>
      <c r="F2" s="6"/>
      <c r="G2" s="26" t="s">
        <v>7</v>
      </c>
      <c r="H2" s="29">
        <v>75000</v>
      </c>
      <c r="I2" s="43">
        <v>100000</v>
      </c>
      <c r="J2" s="44">
        <f>SUM(H1/H2)</f>
        <v>1.5571999999999999</v>
      </c>
      <c r="K2" s="44">
        <f>SUM(H1/I2)</f>
        <v>1.1678999999999999</v>
      </c>
    </row>
    <row r="3" spans="1:12" ht="15.75" thickBot="1" x14ac:dyDescent="0.3">
      <c r="A3" s="92">
        <v>699</v>
      </c>
      <c r="B3" s="39" t="s">
        <v>29</v>
      </c>
      <c r="C3" s="40">
        <v>290</v>
      </c>
      <c r="D3" s="4" t="s">
        <v>17</v>
      </c>
      <c r="E3" s="5">
        <v>46143</v>
      </c>
      <c r="F3" s="6"/>
      <c r="G3" s="25" t="s">
        <v>6</v>
      </c>
      <c r="H3" s="29">
        <f>H2-H1</f>
        <v>-41790</v>
      </c>
      <c r="I3" s="28">
        <f>I2-H1</f>
        <v>-16790</v>
      </c>
    </row>
    <row r="4" spans="1:12" ht="15.75" thickBot="1" x14ac:dyDescent="0.3">
      <c r="A4" s="92">
        <v>16570</v>
      </c>
      <c r="B4" s="39" t="s">
        <v>30</v>
      </c>
      <c r="C4" s="40">
        <v>1995</v>
      </c>
      <c r="D4" s="4" t="s">
        <v>17</v>
      </c>
      <c r="E4" s="5">
        <v>46143</v>
      </c>
      <c r="F4" s="6" t="s">
        <v>31</v>
      </c>
      <c r="G4" s="27" t="s">
        <v>8</v>
      </c>
      <c r="H4" s="15">
        <f>I2/22</f>
        <v>4545.454545454545</v>
      </c>
      <c r="I4" s="27" t="s">
        <v>9</v>
      </c>
    </row>
    <row r="5" spans="1:12" ht="15.75" thickBot="1" x14ac:dyDescent="0.3">
      <c r="A5" s="66">
        <v>711</v>
      </c>
      <c r="B5" s="35" t="s">
        <v>32</v>
      </c>
      <c r="C5" s="37">
        <v>1750</v>
      </c>
      <c r="D5" s="4" t="s">
        <v>17</v>
      </c>
      <c r="E5" s="5">
        <v>46143</v>
      </c>
      <c r="F5" s="8"/>
      <c r="G5" s="25" t="s">
        <v>16</v>
      </c>
      <c r="H5" s="34" t="e" cm="1">
        <f t="array" ref="H5">SUM(I10:I29/18)</f>
        <v>#REF!</v>
      </c>
    </row>
    <row r="6" spans="1:12" x14ac:dyDescent="0.25">
      <c r="A6" s="66">
        <v>16251</v>
      </c>
      <c r="B6" s="35" t="s">
        <v>33</v>
      </c>
      <c r="C6" s="37">
        <v>4000</v>
      </c>
      <c r="D6" s="4" t="s">
        <v>17</v>
      </c>
      <c r="E6" s="5">
        <v>46143</v>
      </c>
      <c r="F6" s="8" t="s">
        <v>34</v>
      </c>
      <c r="G6" s="45"/>
      <c r="H6" s="46"/>
    </row>
    <row r="7" spans="1:12" ht="15.75" thickBot="1" x14ac:dyDescent="0.3">
      <c r="A7" s="66">
        <v>707</v>
      </c>
      <c r="B7" s="35" t="s">
        <v>18</v>
      </c>
      <c r="C7" s="37">
        <v>710</v>
      </c>
      <c r="D7" s="4" t="s">
        <v>17</v>
      </c>
      <c r="E7" s="5">
        <v>46143</v>
      </c>
      <c r="F7" s="8"/>
      <c r="H7" s="9"/>
    </row>
    <row r="8" spans="1:12" ht="15.75" thickBot="1" x14ac:dyDescent="0.3">
      <c r="A8" s="66">
        <v>713</v>
      </c>
      <c r="B8" s="35" t="s">
        <v>21</v>
      </c>
      <c r="C8" s="37">
        <v>1000</v>
      </c>
      <c r="D8" s="7" t="s">
        <v>17</v>
      </c>
      <c r="E8" s="5">
        <v>46143</v>
      </c>
      <c r="F8" s="8"/>
      <c r="H8" s="22" t="s">
        <v>10</v>
      </c>
    </row>
    <row r="9" spans="1:12" ht="15.75" thickBot="1" x14ac:dyDescent="0.3">
      <c r="A9" s="66">
        <v>714</v>
      </c>
      <c r="B9" s="35" t="s">
        <v>20</v>
      </c>
      <c r="C9" s="37">
        <v>200</v>
      </c>
      <c r="D9" s="4" t="s">
        <v>17</v>
      </c>
      <c r="E9" s="5">
        <v>46143</v>
      </c>
      <c r="F9" s="8"/>
      <c r="H9" s="21" t="s">
        <v>11</v>
      </c>
      <c r="I9" s="22" t="s">
        <v>12</v>
      </c>
      <c r="J9" s="27" t="s">
        <v>8</v>
      </c>
      <c r="K9" s="31" t="s">
        <v>13</v>
      </c>
      <c r="L9" s="30" t="s">
        <v>14</v>
      </c>
    </row>
    <row r="10" spans="1:12" ht="15.75" thickBot="1" x14ac:dyDescent="0.3">
      <c r="A10" s="66">
        <v>715</v>
      </c>
      <c r="B10" s="35" t="s">
        <v>35</v>
      </c>
      <c r="C10" s="37">
        <v>4620</v>
      </c>
      <c r="D10" s="4" t="s">
        <v>17</v>
      </c>
      <c r="E10" s="5">
        <v>46146</v>
      </c>
      <c r="F10" s="8"/>
      <c r="H10" s="19">
        <v>1</v>
      </c>
      <c r="I10" s="23">
        <f>SUM(C2:C9)</f>
        <v>10349</v>
      </c>
      <c r="J10" s="15">
        <v>4545.45</v>
      </c>
      <c r="K10" s="32">
        <f>SUM(I10-J10)</f>
        <v>5803.55</v>
      </c>
      <c r="L10" s="33" t="e">
        <f>SUM(K10:K29)</f>
        <v>#REF!</v>
      </c>
    </row>
    <row r="11" spans="1:12" ht="15.75" thickBot="1" x14ac:dyDescent="0.3">
      <c r="A11" s="92">
        <v>716</v>
      </c>
      <c r="B11" s="39" t="s">
        <v>26</v>
      </c>
      <c r="C11" s="40">
        <v>285</v>
      </c>
      <c r="D11" s="4" t="s">
        <v>17</v>
      </c>
      <c r="E11" s="5">
        <v>46146</v>
      </c>
      <c r="F11" s="8"/>
      <c r="H11" s="20">
        <v>4</v>
      </c>
      <c r="I11" s="24">
        <f>SUM(C10:C12)</f>
        <v>5645</v>
      </c>
      <c r="J11" s="15">
        <v>4545.45</v>
      </c>
      <c r="K11" s="18">
        <f>SUM(I11-J11)</f>
        <v>1099.5500000000002</v>
      </c>
    </row>
    <row r="12" spans="1:12" ht="15.75" thickBot="1" x14ac:dyDescent="0.3">
      <c r="A12" s="92">
        <v>717</v>
      </c>
      <c r="B12" s="39" t="s">
        <v>24</v>
      </c>
      <c r="C12" s="40">
        <v>740</v>
      </c>
      <c r="D12" s="4" t="s">
        <v>17</v>
      </c>
      <c r="E12" s="5">
        <v>46146</v>
      </c>
      <c r="F12" s="8"/>
      <c r="H12" s="20">
        <v>5</v>
      </c>
      <c r="I12" s="24">
        <f>SUM(C13:C16)</f>
        <v>5750</v>
      </c>
      <c r="J12" s="15">
        <v>4545.45</v>
      </c>
      <c r="K12" s="18">
        <f>SUM(I12-J12)</f>
        <v>1204.5500000000002</v>
      </c>
    </row>
    <row r="13" spans="1:12" ht="15.75" thickBot="1" x14ac:dyDescent="0.3">
      <c r="A13" s="92">
        <v>16728</v>
      </c>
      <c r="B13" s="39" t="s">
        <v>23</v>
      </c>
      <c r="C13" s="40">
        <v>1140</v>
      </c>
      <c r="D13" s="4" t="s">
        <v>17</v>
      </c>
      <c r="E13" s="5">
        <v>46147</v>
      </c>
      <c r="F13" s="8" t="s">
        <v>41</v>
      </c>
      <c r="H13" s="20">
        <v>6</v>
      </c>
      <c r="I13" s="24">
        <f>SUM(C17)</f>
        <v>4136</v>
      </c>
      <c r="J13" s="15">
        <v>4545.45</v>
      </c>
      <c r="K13" s="18">
        <f>SUM(I13-J13)</f>
        <v>-409.44999999999982</v>
      </c>
    </row>
    <row r="14" spans="1:12" ht="15.75" thickBot="1" x14ac:dyDescent="0.3">
      <c r="A14" s="92">
        <v>16730</v>
      </c>
      <c r="B14" s="39" t="s">
        <v>27</v>
      </c>
      <c r="C14" s="40">
        <v>1980</v>
      </c>
      <c r="D14" s="4" t="s">
        <v>17</v>
      </c>
      <c r="E14" s="5">
        <v>46147</v>
      </c>
      <c r="F14" s="8" t="s">
        <v>42</v>
      </c>
      <c r="H14" s="20">
        <v>7</v>
      </c>
      <c r="I14" s="24">
        <f>SUM(C18:C19)</f>
        <v>1319</v>
      </c>
      <c r="J14" s="15">
        <v>4545.45</v>
      </c>
      <c r="K14" s="18">
        <f t="shared" ref="K14:K17" si="0">SUM(I14-J14)</f>
        <v>-3226.45</v>
      </c>
    </row>
    <row r="15" spans="1:12" ht="15.75" thickBot="1" x14ac:dyDescent="0.3">
      <c r="A15" s="92">
        <v>718</v>
      </c>
      <c r="B15" s="39" t="s">
        <v>36</v>
      </c>
      <c r="C15" s="40">
        <v>1720</v>
      </c>
      <c r="D15" s="4" t="s">
        <v>17</v>
      </c>
      <c r="E15" s="5">
        <v>46147</v>
      </c>
      <c r="F15" s="8"/>
      <c r="H15" s="20">
        <v>11</v>
      </c>
      <c r="I15" s="24">
        <f>SUM(C20:C28)</f>
        <v>15018</v>
      </c>
      <c r="J15" s="15">
        <v>4545.45</v>
      </c>
      <c r="K15" s="18">
        <f t="shared" si="0"/>
        <v>10472.549999999999</v>
      </c>
    </row>
    <row r="16" spans="1:12" ht="15.75" thickBot="1" x14ac:dyDescent="0.3">
      <c r="A16" s="92">
        <v>719</v>
      </c>
      <c r="B16" s="39" t="s">
        <v>37</v>
      </c>
      <c r="C16" s="40">
        <v>910</v>
      </c>
      <c r="D16" s="4" t="s">
        <v>17</v>
      </c>
      <c r="E16" s="5">
        <v>46147</v>
      </c>
      <c r="F16" s="8"/>
      <c r="H16" s="20">
        <v>12</v>
      </c>
      <c r="I16" s="24">
        <f>SUM(C29)</f>
        <v>610</v>
      </c>
      <c r="J16" s="15">
        <v>4545.45</v>
      </c>
      <c r="K16" s="18">
        <f t="shared" si="0"/>
        <v>-3935.45</v>
      </c>
    </row>
    <row r="17" spans="1:11" ht="15.75" thickBot="1" x14ac:dyDescent="0.3">
      <c r="A17" s="92">
        <v>720</v>
      </c>
      <c r="B17" s="39" t="s">
        <v>22</v>
      </c>
      <c r="C17" s="40">
        <v>4136</v>
      </c>
      <c r="D17" s="4" t="s">
        <v>17</v>
      </c>
      <c r="E17" s="5">
        <v>46148</v>
      </c>
      <c r="F17" s="8"/>
      <c r="H17" s="20">
        <v>13</v>
      </c>
      <c r="I17" s="24">
        <f>SUM(C30:C32)</f>
        <v>6070</v>
      </c>
      <c r="J17" s="15">
        <v>4545.45</v>
      </c>
      <c r="K17" s="18">
        <f t="shared" si="0"/>
        <v>1524.5500000000002</v>
      </c>
    </row>
    <row r="18" spans="1:11" ht="15.75" thickBot="1" x14ac:dyDescent="0.3">
      <c r="A18" s="92">
        <v>721</v>
      </c>
      <c r="B18" s="39" t="s">
        <v>38</v>
      </c>
      <c r="C18" s="40">
        <v>379</v>
      </c>
      <c r="D18" s="4" t="s">
        <v>17</v>
      </c>
      <c r="E18" s="5">
        <v>46149</v>
      </c>
      <c r="F18" s="8"/>
      <c r="H18" s="20">
        <v>14</v>
      </c>
      <c r="I18" s="24">
        <f>SUM(C33:C34)</f>
        <v>922.4</v>
      </c>
      <c r="J18" s="15">
        <v>4545.45</v>
      </c>
      <c r="K18" s="18">
        <f t="shared" ref="K18:K22" si="1">SUM(I18-J18)</f>
        <v>-3623.0499999999997</v>
      </c>
    </row>
    <row r="19" spans="1:11" ht="15.75" thickBot="1" x14ac:dyDescent="0.3">
      <c r="A19" s="66">
        <v>722</v>
      </c>
      <c r="B19" s="35" t="s">
        <v>25</v>
      </c>
      <c r="C19" s="37">
        <v>940</v>
      </c>
      <c r="D19" s="4" t="s">
        <v>17</v>
      </c>
      <c r="E19" s="5">
        <v>46149</v>
      </c>
      <c r="F19" s="8"/>
      <c r="H19" s="20">
        <v>15</v>
      </c>
      <c r="I19" s="24">
        <f>SUM(C35:C36)</f>
        <v>1756</v>
      </c>
      <c r="J19" s="15">
        <v>4545.45</v>
      </c>
      <c r="K19" s="18">
        <f t="shared" si="1"/>
        <v>-2789.45</v>
      </c>
    </row>
    <row r="20" spans="1:11" ht="15.75" thickBot="1" x14ac:dyDescent="0.3">
      <c r="A20" s="98">
        <v>16808</v>
      </c>
      <c r="B20" s="35" t="s">
        <v>39</v>
      </c>
      <c r="C20" s="37">
        <v>740</v>
      </c>
      <c r="D20" s="4" t="s">
        <v>17</v>
      </c>
      <c r="E20" s="5">
        <v>46153</v>
      </c>
      <c r="F20" s="8" t="s">
        <v>40</v>
      </c>
      <c r="H20" s="20">
        <v>18</v>
      </c>
      <c r="I20" s="24">
        <f>SUM(C38:C40)</f>
        <v>5128.6000000000004</v>
      </c>
      <c r="J20" s="15">
        <v>4545.45</v>
      </c>
      <c r="K20" s="18">
        <f t="shared" si="1"/>
        <v>583.15000000000055</v>
      </c>
    </row>
    <row r="21" spans="1:11" ht="15.75" thickBot="1" x14ac:dyDescent="0.3">
      <c r="A21" s="97">
        <v>16832</v>
      </c>
      <c r="B21" s="35" t="s">
        <v>101</v>
      </c>
      <c r="C21" s="37">
        <v>6570</v>
      </c>
      <c r="D21" s="4" t="s">
        <v>79</v>
      </c>
      <c r="E21" s="5">
        <v>46153</v>
      </c>
      <c r="F21" s="8"/>
      <c r="H21" s="20">
        <v>19</v>
      </c>
      <c r="I21" s="24">
        <f>SUM(C41:C41)</f>
        <v>990</v>
      </c>
      <c r="J21" s="15">
        <v>4545.45</v>
      </c>
      <c r="K21" s="18">
        <f t="shared" si="1"/>
        <v>-3555.45</v>
      </c>
    </row>
    <row r="22" spans="1:11" ht="15.75" thickBot="1" x14ac:dyDescent="0.3">
      <c r="A22" s="93">
        <v>723</v>
      </c>
      <c r="B22" s="35" t="s">
        <v>43</v>
      </c>
      <c r="C22" s="37">
        <v>2236</v>
      </c>
      <c r="D22" s="4" t="s">
        <v>17</v>
      </c>
      <c r="E22" s="5">
        <v>46153</v>
      </c>
      <c r="F22" s="8"/>
      <c r="H22" s="20">
        <v>20</v>
      </c>
      <c r="I22" s="24">
        <f>SUM(C42:C47)</f>
        <v>15125</v>
      </c>
      <c r="J22" s="15">
        <v>4545.45</v>
      </c>
      <c r="K22" s="18">
        <f t="shared" si="1"/>
        <v>10579.55</v>
      </c>
    </row>
    <row r="23" spans="1:11" ht="15.75" thickBot="1" x14ac:dyDescent="0.3">
      <c r="A23" s="95">
        <v>724</v>
      </c>
      <c r="B23" s="35" t="s">
        <v>62</v>
      </c>
      <c r="C23" s="37">
        <v>638</v>
      </c>
      <c r="D23" s="4" t="s">
        <v>17</v>
      </c>
      <c r="E23" s="5">
        <v>46153</v>
      </c>
      <c r="F23" s="8"/>
      <c r="H23" s="20">
        <v>21</v>
      </c>
      <c r="I23" s="24">
        <f>SUM(C48:C50)</f>
        <v>25080</v>
      </c>
      <c r="J23" s="15">
        <v>4545.45</v>
      </c>
      <c r="K23" s="18">
        <f t="shared" ref="K23:K29" si="2">SUM(I23-J23)</f>
        <v>20534.55</v>
      </c>
    </row>
    <row r="24" spans="1:11" ht="15.75" thickBot="1" x14ac:dyDescent="0.3">
      <c r="A24" s="94">
        <v>725</v>
      </c>
      <c r="B24" s="35" t="s">
        <v>63</v>
      </c>
      <c r="C24" s="37">
        <v>1818</v>
      </c>
      <c r="D24" s="4" t="s">
        <v>17</v>
      </c>
      <c r="E24" s="5">
        <v>46153</v>
      </c>
      <c r="F24" s="8"/>
      <c r="H24" s="20">
        <v>22</v>
      </c>
      <c r="I24" s="24" t="e">
        <f>SUM(#REF!)</f>
        <v>#REF!</v>
      </c>
      <c r="J24" s="15">
        <v>4545.45</v>
      </c>
      <c r="K24" s="18" t="e">
        <f t="shared" si="2"/>
        <v>#REF!</v>
      </c>
    </row>
    <row r="25" spans="1:11" ht="15.75" thickBot="1" x14ac:dyDescent="0.3">
      <c r="A25" s="94">
        <v>726</v>
      </c>
      <c r="B25" s="35" t="s">
        <v>64</v>
      </c>
      <c r="C25" s="37">
        <v>1590</v>
      </c>
      <c r="D25" s="4" t="s">
        <v>17</v>
      </c>
      <c r="E25" s="5">
        <v>46153</v>
      </c>
      <c r="F25" s="8"/>
      <c r="H25" s="20">
        <v>25</v>
      </c>
      <c r="I25" s="24" t="e">
        <f>SUM(#REF!)</f>
        <v>#REF!</v>
      </c>
      <c r="J25" s="15">
        <v>4545.45</v>
      </c>
      <c r="K25" s="18" t="e">
        <f t="shared" si="2"/>
        <v>#REF!</v>
      </c>
    </row>
    <row r="26" spans="1:11" ht="15.75" thickBot="1" x14ac:dyDescent="0.3">
      <c r="A26" s="89">
        <v>727</v>
      </c>
      <c r="B26" s="35" t="s">
        <v>65</v>
      </c>
      <c r="C26" s="37">
        <v>220</v>
      </c>
      <c r="D26" s="4" t="s">
        <v>17</v>
      </c>
      <c r="E26" s="5">
        <v>46153</v>
      </c>
      <c r="F26" s="8"/>
      <c r="H26" s="20">
        <v>26</v>
      </c>
      <c r="I26" s="24" t="e">
        <f>SUM(#REF!)</f>
        <v>#REF!</v>
      </c>
      <c r="J26" s="15">
        <v>4545.45</v>
      </c>
      <c r="K26" s="18" t="e">
        <f t="shared" si="2"/>
        <v>#REF!</v>
      </c>
    </row>
    <row r="27" spans="1:11" ht="15.75" thickBot="1" x14ac:dyDescent="0.3">
      <c r="A27" s="96">
        <v>728</v>
      </c>
      <c r="B27" s="35" t="s">
        <v>46</v>
      </c>
      <c r="C27" s="37">
        <v>420</v>
      </c>
      <c r="D27" s="4" t="s">
        <v>17</v>
      </c>
      <c r="E27" s="5">
        <v>46153</v>
      </c>
      <c r="F27" s="8"/>
      <c r="H27" s="20">
        <v>27</v>
      </c>
      <c r="I27" s="24" t="e">
        <f>SUM(#REF!)</f>
        <v>#REF!</v>
      </c>
      <c r="J27" s="15">
        <v>4545.45</v>
      </c>
      <c r="K27" s="18" t="e">
        <f t="shared" si="2"/>
        <v>#REF!</v>
      </c>
    </row>
    <row r="28" spans="1:11" ht="15.75" thickBot="1" x14ac:dyDescent="0.3">
      <c r="A28" s="89">
        <v>729</v>
      </c>
      <c r="B28" s="35" t="s">
        <v>66</v>
      </c>
      <c r="C28" s="37">
        <v>786</v>
      </c>
      <c r="D28" s="4" t="s">
        <v>17</v>
      </c>
      <c r="E28" s="5">
        <v>46153</v>
      </c>
      <c r="F28" s="8"/>
      <c r="H28" s="20">
        <v>28</v>
      </c>
      <c r="I28" s="24"/>
      <c r="J28" s="15">
        <v>4545.45</v>
      </c>
      <c r="K28" s="18">
        <f t="shared" si="2"/>
        <v>-4545.45</v>
      </c>
    </row>
    <row r="29" spans="1:11" ht="15.75" thickBot="1" x14ac:dyDescent="0.3">
      <c r="A29" s="103">
        <v>730</v>
      </c>
      <c r="B29" s="35" t="s">
        <v>67</v>
      </c>
      <c r="C29" s="37">
        <v>610</v>
      </c>
      <c r="D29" s="4" t="s">
        <v>17</v>
      </c>
      <c r="E29" s="5">
        <v>46154</v>
      </c>
      <c r="F29" s="8"/>
      <c r="H29" s="20">
        <v>29</v>
      </c>
      <c r="I29" s="24"/>
      <c r="J29" s="15">
        <v>4545.45</v>
      </c>
      <c r="K29" s="18">
        <f t="shared" si="2"/>
        <v>-4545.45</v>
      </c>
    </row>
    <row r="30" spans="1:11" x14ac:dyDescent="0.25">
      <c r="A30" s="90">
        <v>731</v>
      </c>
      <c r="B30" s="47" t="s">
        <v>47</v>
      </c>
      <c r="C30" s="37">
        <v>294</v>
      </c>
      <c r="D30" s="4" t="s">
        <v>17</v>
      </c>
      <c r="E30" s="5">
        <v>46155</v>
      </c>
      <c r="F30" s="8"/>
    </row>
    <row r="31" spans="1:11" x14ac:dyDescent="0.25">
      <c r="A31" s="91">
        <v>16940</v>
      </c>
      <c r="B31" s="47" t="s">
        <v>48</v>
      </c>
      <c r="C31" s="37">
        <v>3870</v>
      </c>
      <c r="D31" s="4" t="s">
        <v>17</v>
      </c>
      <c r="E31" s="5">
        <v>46155</v>
      </c>
      <c r="F31" s="8" t="s">
        <v>72</v>
      </c>
      <c r="G31" s="104" t="s">
        <v>102</v>
      </c>
    </row>
    <row r="32" spans="1:11" x14ac:dyDescent="0.25">
      <c r="A32" s="91">
        <v>732</v>
      </c>
      <c r="B32" s="47" t="s">
        <v>49</v>
      </c>
      <c r="C32" s="37">
        <v>1906</v>
      </c>
      <c r="D32" s="4" t="s">
        <v>17</v>
      </c>
      <c r="E32" s="5">
        <v>46155</v>
      </c>
      <c r="F32" s="8"/>
    </row>
    <row r="33" spans="1:6" x14ac:dyDescent="0.25">
      <c r="A33" s="91">
        <v>733</v>
      </c>
      <c r="B33" s="47" t="s">
        <v>50</v>
      </c>
      <c r="C33" s="37">
        <v>420</v>
      </c>
      <c r="D33" s="4" t="s">
        <v>17</v>
      </c>
      <c r="E33" s="5">
        <v>46156</v>
      </c>
      <c r="F33" s="8"/>
    </row>
    <row r="34" spans="1:6" x14ac:dyDescent="0.25">
      <c r="A34" s="65">
        <v>734</v>
      </c>
      <c r="B34" s="47" t="s">
        <v>51</v>
      </c>
      <c r="C34" s="37">
        <v>502.4</v>
      </c>
      <c r="D34" s="4" t="s">
        <v>17</v>
      </c>
      <c r="E34" s="5">
        <v>46156</v>
      </c>
      <c r="F34" s="8"/>
    </row>
    <row r="35" spans="1:6" x14ac:dyDescent="0.25">
      <c r="A35" s="90">
        <v>735</v>
      </c>
      <c r="B35" s="47" t="s">
        <v>52</v>
      </c>
      <c r="C35" s="37">
        <v>1053</v>
      </c>
      <c r="D35" s="4" t="s">
        <v>17</v>
      </c>
      <c r="E35" s="5">
        <v>46157</v>
      </c>
      <c r="F35" s="8"/>
    </row>
    <row r="36" spans="1:6" x14ac:dyDescent="0.25">
      <c r="A36" s="91">
        <v>736</v>
      </c>
      <c r="B36" s="47" t="s">
        <v>53</v>
      </c>
      <c r="C36" s="37">
        <v>703</v>
      </c>
      <c r="D36" s="4" t="s">
        <v>17</v>
      </c>
      <c r="E36" s="5">
        <v>46157</v>
      </c>
      <c r="F36" s="8"/>
    </row>
    <row r="37" spans="1:6" x14ac:dyDescent="0.25">
      <c r="A37" s="91">
        <v>16993</v>
      </c>
      <c r="B37" s="47" t="s">
        <v>100</v>
      </c>
      <c r="C37" s="37">
        <v>1500</v>
      </c>
      <c r="D37" s="4" t="s">
        <v>79</v>
      </c>
      <c r="E37" s="5">
        <v>46157</v>
      </c>
      <c r="F37" s="8" t="s">
        <v>99</v>
      </c>
    </row>
    <row r="38" spans="1:6" x14ac:dyDescent="0.25">
      <c r="A38" s="91">
        <v>737</v>
      </c>
      <c r="B38" s="47" t="s">
        <v>54</v>
      </c>
      <c r="C38" s="37">
        <v>3670</v>
      </c>
      <c r="D38" s="4" t="s">
        <v>17</v>
      </c>
      <c r="E38" s="5">
        <v>46160</v>
      </c>
      <c r="F38" s="8"/>
    </row>
    <row r="39" spans="1:6" x14ac:dyDescent="0.25">
      <c r="A39" s="91">
        <v>738</v>
      </c>
      <c r="B39" s="47" t="s">
        <v>55</v>
      </c>
      <c r="C39" s="37">
        <v>820</v>
      </c>
      <c r="D39" s="4" t="s">
        <v>17</v>
      </c>
      <c r="E39" s="5">
        <v>46160</v>
      </c>
      <c r="F39" s="8"/>
    </row>
    <row r="40" spans="1:6" x14ac:dyDescent="0.25">
      <c r="A40" s="91">
        <v>739</v>
      </c>
      <c r="B40" s="47" t="s">
        <v>68</v>
      </c>
      <c r="C40" s="37">
        <v>638.6</v>
      </c>
      <c r="D40" s="4" t="s">
        <v>17</v>
      </c>
      <c r="E40" s="5">
        <v>46160</v>
      </c>
      <c r="F40" s="8"/>
    </row>
    <row r="41" spans="1:6" x14ac:dyDescent="0.25">
      <c r="A41" s="88">
        <v>740</v>
      </c>
      <c r="B41" s="47" t="s">
        <v>56</v>
      </c>
      <c r="C41" s="37">
        <v>990</v>
      </c>
      <c r="D41" s="4" t="s">
        <v>17</v>
      </c>
      <c r="E41" s="5">
        <v>46161</v>
      </c>
      <c r="F41" s="8"/>
    </row>
    <row r="42" spans="1:6" x14ac:dyDescent="0.25">
      <c r="A42" s="102">
        <v>17072</v>
      </c>
      <c r="B42" s="50" t="s">
        <v>45</v>
      </c>
      <c r="C42" s="37">
        <v>220</v>
      </c>
      <c r="D42" s="4" t="s">
        <v>17</v>
      </c>
      <c r="E42" s="5">
        <v>46162</v>
      </c>
      <c r="F42" s="8"/>
    </row>
    <row r="43" spans="1:6" x14ac:dyDescent="0.25">
      <c r="A43" s="101">
        <v>17080</v>
      </c>
      <c r="B43" s="47" t="s">
        <v>58</v>
      </c>
      <c r="C43" s="37">
        <v>3125</v>
      </c>
      <c r="D43" s="4" t="s">
        <v>17</v>
      </c>
      <c r="E43" s="5">
        <v>46162</v>
      </c>
      <c r="F43" s="8" t="s">
        <v>73</v>
      </c>
    </row>
    <row r="44" spans="1:6" x14ac:dyDescent="0.25">
      <c r="A44" s="88">
        <v>742</v>
      </c>
      <c r="B44" s="50" t="s">
        <v>59</v>
      </c>
      <c r="C44" s="37">
        <v>810</v>
      </c>
      <c r="D44" s="4" t="s">
        <v>17</v>
      </c>
      <c r="E44" s="5">
        <v>46162</v>
      </c>
      <c r="F44" s="8"/>
    </row>
    <row r="45" spans="1:6" x14ac:dyDescent="0.25">
      <c r="A45" s="99">
        <v>743</v>
      </c>
      <c r="B45" s="55" t="s">
        <v>60</v>
      </c>
      <c r="C45" s="37">
        <v>2310</v>
      </c>
      <c r="D45" s="4" t="s">
        <v>17</v>
      </c>
      <c r="E45" s="5">
        <v>46162</v>
      </c>
      <c r="F45" s="8"/>
    </row>
    <row r="46" spans="1:6" x14ac:dyDescent="0.25">
      <c r="A46" s="88">
        <v>744</v>
      </c>
      <c r="B46" s="53" t="s">
        <v>69</v>
      </c>
      <c r="C46" s="37">
        <v>5670</v>
      </c>
      <c r="D46" s="4" t="s">
        <v>17</v>
      </c>
      <c r="E46" s="5">
        <v>46162</v>
      </c>
      <c r="F46" s="8"/>
    </row>
    <row r="47" spans="1:6" x14ac:dyDescent="0.25">
      <c r="A47" s="100">
        <v>745</v>
      </c>
      <c r="B47" s="56" t="s">
        <v>61</v>
      </c>
      <c r="C47" s="37">
        <v>2990</v>
      </c>
      <c r="D47" s="4" t="s">
        <v>17</v>
      </c>
      <c r="E47" s="5">
        <v>46162</v>
      </c>
      <c r="F47" s="8"/>
    </row>
    <row r="48" spans="1:6" x14ac:dyDescent="0.25">
      <c r="A48" s="99">
        <v>746</v>
      </c>
      <c r="B48" s="50" t="s">
        <v>44</v>
      </c>
      <c r="C48" s="37">
        <v>740</v>
      </c>
      <c r="D48" s="4" t="s">
        <v>17</v>
      </c>
      <c r="E48" s="5">
        <v>46163</v>
      </c>
      <c r="F48" s="8"/>
    </row>
    <row r="49" spans="1:6" x14ac:dyDescent="0.25">
      <c r="A49" s="88">
        <v>747</v>
      </c>
      <c r="B49" s="50" t="s">
        <v>71</v>
      </c>
      <c r="C49" s="37">
        <v>1040</v>
      </c>
      <c r="D49" s="4" t="s">
        <v>17</v>
      </c>
      <c r="E49" s="5">
        <v>46163</v>
      </c>
      <c r="F49" s="8"/>
    </row>
    <row r="50" spans="1:6" x14ac:dyDescent="0.25">
      <c r="A50" s="66">
        <v>17121</v>
      </c>
      <c r="B50" s="35" t="s">
        <v>49</v>
      </c>
      <c r="C50" s="37">
        <v>23300</v>
      </c>
      <c r="D50" s="4" t="s">
        <v>17</v>
      </c>
      <c r="E50" s="5">
        <v>46163</v>
      </c>
      <c r="F50" s="8" t="s">
        <v>74</v>
      </c>
    </row>
    <row r="51" spans="1:6" x14ac:dyDescent="0.25">
      <c r="A51" s="66">
        <v>749</v>
      </c>
      <c r="B51" s="35" t="s">
        <v>75</v>
      </c>
      <c r="C51" s="37">
        <v>285</v>
      </c>
      <c r="D51" s="4" t="s">
        <v>17</v>
      </c>
      <c r="E51" s="5">
        <v>46164</v>
      </c>
      <c r="F51" s="8"/>
    </row>
    <row r="52" spans="1:6" x14ac:dyDescent="0.25">
      <c r="A52" s="66">
        <v>17173</v>
      </c>
      <c r="B52" s="35" t="s">
        <v>51</v>
      </c>
      <c r="C52" s="37">
        <v>392</v>
      </c>
      <c r="D52" s="4" t="s">
        <v>17</v>
      </c>
      <c r="E52" s="5">
        <v>46167</v>
      </c>
      <c r="F52" s="8" t="s">
        <v>93</v>
      </c>
    </row>
    <row r="53" spans="1:6" x14ac:dyDescent="0.25">
      <c r="A53" s="66">
        <v>751</v>
      </c>
      <c r="B53" s="35" t="s">
        <v>77</v>
      </c>
      <c r="C53" s="37">
        <v>657</v>
      </c>
      <c r="D53" s="4" t="s">
        <v>17</v>
      </c>
      <c r="E53" s="5">
        <v>46167</v>
      </c>
      <c r="F53" s="8"/>
    </row>
    <row r="54" spans="1:6" x14ac:dyDescent="0.25">
      <c r="A54" s="66">
        <v>752</v>
      </c>
      <c r="B54" s="35" t="s">
        <v>78</v>
      </c>
      <c r="C54" s="37">
        <v>836</v>
      </c>
      <c r="D54" s="4" t="s">
        <v>17</v>
      </c>
      <c r="E54" s="5">
        <v>46167</v>
      </c>
      <c r="F54" s="8"/>
    </row>
    <row r="55" spans="1:6" x14ac:dyDescent="0.25">
      <c r="A55" s="66">
        <v>17179</v>
      </c>
      <c r="B55" s="35" t="s">
        <v>80</v>
      </c>
      <c r="C55" s="37">
        <v>810</v>
      </c>
      <c r="D55" s="4" t="s">
        <v>79</v>
      </c>
      <c r="E55" s="5">
        <v>46167</v>
      </c>
      <c r="F55" s="8" t="s">
        <v>81</v>
      </c>
    </row>
    <row r="56" spans="1:6" x14ac:dyDescent="0.25">
      <c r="A56" s="66">
        <v>17181</v>
      </c>
      <c r="B56" s="35" t="s">
        <v>82</v>
      </c>
      <c r="C56" s="37">
        <v>810</v>
      </c>
      <c r="D56" s="4" t="s">
        <v>79</v>
      </c>
      <c r="E56" s="5">
        <v>46167</v>
      </c>
      <c r="F56" s="8" t="s">
        <v>84</v>
      </c>
    </row>
    <row r="57" spans="1:6" x14ac:dyDescent="0.25">
      <c r="A57" s="66">
        <v>17183</v>
      </c>
      <c r="B57" s="35" t="s">
        <v>83</v>
      </c>
      <c r="C57" s="37">
        <v>4050</v>
      </c>
      <c r="D57" s="4" t="s">
        <v>79</v>
      </c>
      <c r="E57" s="5">
        <v>46167</v>
      </c>
      <c r="F57" s="8" t="s">
        <v>85</v>
      </c>
    </row>
    <row r="58" spans="1:6" x14ac:dyDescent="0.25">
      <c r="A58" s="66">
        <v>753</v>
      </c>
      <c r="B58" s="35" t="s">
        <v>27</v>
      </c>
      <c r="C58" s="37">
        <v>1040</v>
      </c>
      <c r="D58" s="4" t="s">
        <v>17</v>
      </c>
      <c r="E58" s="5">
        <v>46168</v>
      </c>
      <c r="F58" s="8"/>
    </row>
    <row r="59" spans="1:6" x14ac:dyDescent="0.25">
      <c r="A59" s="66">
        <v>754</v>
      </c>
      <c r="B59" s="35" t="s">
        <v>86</v>
      </c>
      <c r="C59" s="37">
        <v>333</v>
      </c>
      <c r="D59" s="4" t="s">
        <v>17</v>
      </c>
      <c r="E59" s="5">
        <v>46169</v>
      </c>
      <c r="F59" s="8"/>
    </row>
    <row r="60" spans="1:6" x14ac:dyDescent="0.25">
      <c r="A60" s="66">
        <v>755</v>
      </c>
      <c r="B60" s="35" t="s">
        <v>87</v>
      </c>
      <c r="C60" s="37">
        <v>838</v>
      </c>
      <c r="D60" s="4" t="s">
        <v>79</v>
      </c>
      <c r="E60" s="5">
        <v>46169</v>
      </c>
      <c r="F60" s="8"/>
    </row>
    <row r="61" spans="1:6" x14ac:dyDescent="0.25">
      <c r="A61" s="66">
        <v>756</v>
      </c>
      <c r="B61" s="35" t="s">
        <v>46</v>
      </c>
      <c r="C61" s="37">
        <v>630</v>
      </c>
      <c r="D61" s="60" t="s">
        <v>17</v>
      </c>
      <c r="E61" s="5">
        <v>46170</v>
      </c>
      <c r="F61" s="8"/>
    </row>
    <row r="62" spans="1:6" x14ac:dyDescent="0.25">
      <c r="A62" s="66">
        <v>757</v>
      </c>
      <c r="B62" s="35" t="s">
        <v>88</v>
      </c>
      <c r="C62" s="58">
        <v>1000</v>
      </c>
      <c r="D62" s="61" t="s">
        <v>17</v>
      </c>
      <c r="E62" s="59">
        <v>46170</v>
      </c>
      <c r="F62" s="8"/>
    </row>
    <row r="63" spans="1:6" x14ac:dyDescent="0.25">
      <c r="A63" s="66">
        <v>759</v>
      </c>
      <c r="B63" s="35" t="s">
        <v>89</v>
      </c>
      <c r="C63" s="37">
        <v>1030</v>
      </c>
      <c r="D63" s="4" t="s">
        <v>17</v>
      </c>
      <c r="E63" s="5">
        <v>46170</v>
      </c>
      <c r="F63" s="8"/>
    </row>
    <row r="64" spans="1:6" x14ac:dyDescent="0.25">
      <c r="A64" s="66">
        <v>16018</v>
      </c>
      <c r="B64" s="35" t="s">
        <v>91</v>
      </c>
      <c r="C64" s="37">
        <v>3680</v>
      </c>
      <c r="D64" s="4" t="s">
        <v>17</v>
      </c>
      <c r="E64" s="5">
        <v>46171</v>
      </c>
      <c r="F64" s="8" t="s">
        <v>92</v>
      </c>
    </row>
    <row r="65" spans="1:6" ht="15.75" thickBot="1" x14ac:dyDescent="0.3">
      <c r="A65" s="66">
        <v>760</v>
      </c>
      <c r="B65" s="35" t="s">
        <v>21</v>
      </c>
      <c r="C65" s="37">
        <v>1000</v>
      </c>
      <c r="D65" s="7" t="s">
        <v>17</v>
      </c>
      <c r="E65" s="5">
        <v>46171</v>
      </c>
      <c r="F65" s="8"/>
    </row>
    <row r="66" spans="1:6" ht="15.75" thickBot="1" x14ac:dyDescent="0.3">
      <c r="A66" s="117" t="s">
        <v>5</v>
      </c>
      <c r="B66" s="118"/>
      <c r="C66" s="36">
        <f>SUM(C2:C65)</f>
        <v>116790</v>
      </c>
      <c r="D66" s="11"/>
      <c r="E66" s="12"/>
      <c r="F66" s="3"/>
    </row>
    <row r="67" spans="1:6" ht="15.75" thickBot="1" x14ac:dyDescent="0.3">
      <c r="A67" s="117" t="s">
        <v>7</v>
      </c>
      <c r="B67" s="118"/>
      <c r="C67" s="36">
        <v>1758000</v>
      </c>
      <c r="D67" s="16">
        <v>1760000</v>
      </c>
      <c r="E67" s="10"/>
      <c r="F67" s="3"/>
    </row>
    <row r="68" spans="1:6" ht="15.75" thickBot="1" x14ac:dyDescent="0.3">
      <c r="A68" s="117" t="s">
        <v>6</v>
      </c>
      <c r="B68" s="118"/>
      <c r="C68" s="36">
        <f>C67-C66</f>
        <v>1641210</v>
      </c>
      <c r="D68" s="16">
        <f>D67-C66</f>
        <v>1643210</v>
      </c>
      <c r="E68" s="10"/>
      <c r="F68" s="3"/>
    </row>
  </sheetData>
  <autoFilter ref="A1:F65" xr:uid="{AFF50047-F45E-4826-B627-9667DEC3EC94}">
    <sortState xmlns:xlrd2="http://schemas.microsoft.com/office/spreadsheetml/2017/richdata2" ref="A2:F65">
      <sortCondition ref="E1:E65"/>
    </sortState>
  </autoFilter>
  <mergeCells count="3">
    <mergeCell ref="A66:B66"/>
    <mergeCell ref="A67:B67"/>
    <mergeCell ref="A68:B68"/>
  </mergeCells>
  <conditionalFormatting sqref="I10:I29">
    <cfRule type="cellIs" dxfId="9" priority="1" operator="equal">
      <formula>0</formula>
    </cfRule>
    <cfRule type="cellIs" dxfId="8" priority="2" operator="lessThan">
      <formula>4545.45</formula>
    </cfRule>
    <cfRule type="cellIs" dxfId="7" priority="3" operator="greaterThan">
      <formula>4545.45</formula>
    </cfRule>
  </conditionalFormatting>
  <conditionalFormatting sqref="L10">
    <cfRule type="cellIs" dxfId="6" priority="4" operator="lessThan">
      <formula>0</formula>
    </cfRule>
    <cfRule type="cellIs" dxfId="5" priority="5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I24:I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DEZEMBRO</vt:lpstr>
      <vt:lpstr>NOVEMBRO</vt:lpstr>
      <vt:lpstr>OUTUBRO</vt:lpstr>
      <vt:lpstr>SETEMBRO</vt:lpstr>
      <vt:lpstr>AGOSTO</vt:lpstr>
      <vt:lpstr>JULHO</vt:lpstr>
      <vt:lpstr>JUNHO</vt:lpstr>
      <vt:lpstr>MAIO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 Criffer</dc:creator>
  <cp:lastModifiedBy>Gabriel Dias</cp:lastModifiedBy>
  <dcterms:created xsi:type="dcterms:W3CDTF">2025-06-02T12:33:10Z</dcterms:created>
  <dcterms:modified xsi:type="dcterms:W3CDTF">2026-06-19T11:56:59Z</dcterms:modified>
</cp:coreProperties>
</file>